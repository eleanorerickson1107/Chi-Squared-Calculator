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0" documentId="8_{7F0D3097-267F-4362-85A7-3B82B3C7535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X^2" sheetId="1" r:id="rId1"/>
    <sheet name="ANOVA" sheetId="2" r:id="rId2"/>
    <sheet name="Sheet4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E45" i="3"/>
  <c r="B22" i="3"/>
  <c r="B20" i="2"/>
  <c r="D76" i="2"/>
  <c r="D77" i="2"/>
  <c r="D78" i="2"/>
  <c r="D79" i="2"/>
  <c r="D80" i="2"/>
  <c r="D81" i="2"/>
  <c r="D82" i="2"/>
  <c r="D87" i="2"/>
  <c r="D88" i="2"/>
  <c r="B102" i="2" s="1"/>
  <c r="B103" i="2" s="1"/>
  <c r="G25" i="2"/>
  <c r="G26" i="2"/>
  <c r="G27" i="2"/>
  <c r="G28" i="2"/>
  <c r="G29" i="2"/>
  <c r="G30" i="2"/>
  <c r="G31" i="2"/>
  <c r="G32" i="2"/>
  <c r="G33" i="2"/>
  <c r="G34" i="2"/>
  <c r="U6" i="1"/>
  <c r="I20" i="1" s="1"/>
  <c r="T6" i="1"/>
  <c r="H20" i="1" s="1"/>
  <c r="S6" i="1"/>
  <c r="G20" i="1" s="1"/>
  <c r="R6" i="1"/>
  <c r="F20" i="1" s="1"/>
  <c r="Q6" i="1"/>
  <c r="E20" i="1" s="1"/>
  <c r="P6" i="1"/>
  <c r="D20" i="1" s="1"/>
  <c r="O6" i="1"/>
  <c r="C20" i="1" s="1"/>
  <c r="N6" i="1"/>
  <c r="B20" i="1" s="1"/>
  <c r="W6" i="1"/>
  <c r="K20" i="1" s="1"/>
  <c r="V6" i="1"/>
  <c r="J20" i="1" s="1"/>
  <c r="U7" i="1"/>
  <c r="I21" i="1" s="1"/>
  <c r="T7" i="1"/>
  <c r="H21" i="1" s="1"/>
  <c r="S7" i="1"/>
  <c r="G21" i="1" s="1"/>
  <c r="R7" i="1"/>
  <c r="F21" i="1" s="1"/>
  <c r="Q7" i="1"/>
  <c r="E21" i="1" s="1"/>
  <c r="P7" i="1"/>
  <c r="D21" i="1" s="1"/>
  <c r="O7" i="1"/>
  <c r="C21" i="1" s="1"/>
  <c r="N7" i="1"/>
  <c r="B21" i="1" s="1"/>
  <c r="W7" i="1"/>
  <c r="K21" i="1" s="1"/>
  <c r="V7" i="1"/>
  <c r="J21" i="1" s="1"/>
  <c r="U8" i="1"/>
  <c r="I22" i="1" s="1"/>
  <c r="T8" i="1"/>
  <c r="H22" i="1" s="1"/>
  <c r="S8" i="1"/>
  <c r="G22" i="1" s="1"/>
  <c r="R8" i="1"/>
  <c r="F22" i="1" s="1"/>
  <c r="Q8" i="1"/>
  <c r="E22" i="1" s="1"/>
  <c r="P8" i="1"/>
  <c r="D22" i="1" s="1"/>
  <c r="O8" i="1"/>
  <c r="C22" i="1" s="1"/>
  <c r="N8" i="1"/>
  <c r="B22" i="1" s="1"/>
  <c r="W8" i="1"/>
  <c r="K22" i="1" s="1"/>
  <c r="V8" i="1"/>
  <c r="J22" i="1" s="1"/>
  <c r="U9" i="1"/>
  <c r="I23" i="1" s="1"/>
  <c r="T9" i="1"/>
  <c r="H23" i="1" s="1"/>
  <c r="S9" i="1"/>
  <c r="G23" i="1" s="1"/>
  <c r="R9" i="1"/>
  <c r="F23" i="1" s="1"/>
  <c r="Q9" i="1"/>
  <c r="E23" i="1" s="1"/>
  <c r="P9" i="1"/>
  <c r="D23" i="1" s="1"/>
  <c r="O9" i="1"/>
  <c r="C23" i="1" s="1"/>
  <c r="N9" i="1"/>
  <c r="B23" i="1" s="1"/>
  <c r="W9" i="1"/>
  <c r="K23" i="1" s="1"/>
  <c r="V9" i="1"/>
  <c r="J23" i="1" s="1"/>
  <c r="U10" i="1"/>
  <c r="I24" i="1" s="1"/>
  <c r="T10" i="1"/>
  <c r="H24" i="1" s="1"/>
  <c r="S10" i="1"/>
  <c r="G24" i="1" s="1"/>
  <c r="R10" i="1"/>
  <c r="F24" i="1" s="1"/>
  <c r="Q10" i="1"/>
  <c r="E24" i="1" s="1"/>
  <c r="P10" i="1"/>
  <c r="D24" i="1" s="1"/>
  <c r="O10" i="1"/>
  <c r="C24" i="1" s="1"/>
  <c r="N10" i="1"/>
  <c r="B24" i="1" s="1"/>
  <c r="W10" i="1"/>
  <c r="K24" i="1" s="1"/>
  <c r="V10" i="1"/>
  <c r="J24" i="1" s="1"/>
  <c r="U11" i="1"/>
  <c r="I25" i="1" s="1"/>
  <c r="T11" i="1"/>
  <c r="H25" i="1" s="1"/>
  <c r="S11" i="1"/>
  <c r="G25" i="1" s="1"/>
  <c r="R11" i="1"/>
  <c r="F25" i="1" s="1"/>
  <c r="Q11" i="1"/>
  <c r="E25" i="1" s="1"/>
  <c r="P11" i="1"/>
  <c r="D25" i="1" s="1"/>
  <c r="O11" i="1"/>
  <c r="C25" i="1" s="1"/>
  <c r="N11" i="1"/>
  <c r="B25" i="1" s="1"/>
  <c r="W11" i="1"/>
  <c r="K25" i="1" s="1"/>
  <c r="V11" i="1"/>
  <c r="J25" i="1" s="1"/>
  <c r="U12" i="1"/>
  <c r="I26" i="1" s="1"/>
  <c r="T12" i="1"/>
  <c r="H26" i="1" s="1"/>
  <c r="S12" i="1"/>
  <c r="G26" i="1" s="1"/>
  <c r="R12" i="1"/>
  <c r="F26" i="1" s="1"/>
  <c r="Q12" i="1"/>
  <c r="E26" i="1" s="1"/>
  <c r="P12" i="1"/>
  <c r="D26" i="1" s="1"/>
  <c r="O12" i="1"/>
  <c r="C26" i="1" s="1"/>
  <c r="N12" i="1"/>
  <c r="B26" i="1" s="1"/>
  <c r="W12" i="1"/>
  <c r="K26" i="1" s="1"/>
  <c r="V12" i="1"/>
  <c r="J26" i="1" s="1"/>
  <c r="U13" i="1"/>
  <c r="I27" i="1" s="1"/>
  <c r="T13" i="1"/>
  <c r="H27" i="1" s="1"/>
  <c r="S13" i="1"/>
  <c r="G27" i="1" s="1"/>
  <c r="R13" i="1"/>
  <c r="F27" i="1" s="1"/>
  <c r="Q13" i="1"/>
  <c r="E27" i="1" s="1"/>
  <c r="P13" i="1"/>
  <c r="D27" i="1" s="1"/>
  <c r="O13" i="1"/>
  <c r="C27" i="1" s="1"/>
  <c r="N13" i="1"/>
  <c r="B27" i="1" s="1"/>
  <c r="W13" i="1"/>
  <c r="K27" i="1" s="1"/>
  <c r="V13" i="1"/>
  <c r="J27" i="1" s="1"/>
  <c r="U14" i="1"/>
  <c r="I28" i="1" s="1"/>
  <c r="T14" i="1"/>
  <c r="H28" i="1" s="1"/>
  <c r="S14" i="1"/>
  <c r="G28" i="1" s="1"/>
  <c r="R14" i="1"/>
  <c r="F28" i="1" s="1"/>
  <c r="Q14" i="1"/>
  <c r="E28" i="1" s="1"/>
  <c r="P14" i="1"/>
  <c r="D28" i="1" s="1"/>
  <c r="O14" i="1"/>
  <c r="C28" i="1" s="1"/>
  <c r="N14" i="1"/>
  <c r="B28" i="1" s="1"/>
  <c r="W14" i="1"/>
  <c r="K28" i="1" s="1"/>
  <c r="V14" i="1"/>
  <c r="J28" i="1" s="1"/>
  <c r="U5" i="1"/>
  <c r="I19" i="1" s="1"/>
  <c r="T5" i="1"/>
  <c r="H19" i="1" s="1"/>
  <c r="S5" i="1"/>
  <c r="G19" i="1" s="1"/>
  <c r="R5" i="1"/>
  <c r="F19" i="1" s="1"/>
  <c r="Q5" i="1"/>
  <c r="E19" i="1" s="1"/>
  <c r="P5" i="1"/>
  <c r="D19" i="1" s="1"/>
  <c r="O5" i="1"/>
  <c r="C19" i="1" s="1"/>
  <c r="N5" i="1"/>
  <c r="B19" i="1" s="1"/>
  <c r="W5" i="1"/>
  <c r="K19" i="1" s="1"/>
  <c r="V5" i="1"/>
  <c r="J19" i="1" s="1"/>
  <c r="C45" i="3"/>
  <c r="N35" i="3"/>
  <c r="C51" i="3" s="1"/>
  <c r="N22" i="3"/>
  <c r="C50" i="3" s="1"/>
  <c r="D50" i="3" s="1"/>
  <c r="B53" i="3" s="1"/>
  <c r="N9" i="3"/>
  <c r="C49" i="3" s="1"/>
  <c r="B101" i="2"/>
  <c r="B100" i="2"/>
  <c r="B92" i="2"/>
  <c r="C89" i="2"/>
  <c r="B89" i="2"/>
  <c r="B93" i="2" s="1"/>
  <c r="D89" i="2"/>
  <c r="I26" i="2"/>
  <c r="B19" i="2"/>
  <c r="B17" i="2"/>
  <c r="N14" i="2"/>
  <c r="M14" i="2"/>
  <c r="F34" i="2" s="1"/>
  <c r="L14" i="2"/>
  <c r="N13" i="2"/>
  <c r="M13" i="2"/>
  <c r="F33" i="2" s="1"/>
  <c r="L13" i="2"/>
  <c r="N12" i="2"/>
  <c r="M12" i="2"/>
  <c r="F32" i="2" s="1"/>
  <c r="L12" i="2"/>
  <c r="N11" i="2"/>
  <c r="M11" i="2"/>
  <c r="F31" i="2" s="1"/>
  <c r="L11" i="2"/>
  <c r="N10" i="2"/>
  <c r="M10" i="2"/>
  <c r="F30" i="2" s="1"/>
  <c r="L10" i="2"/>
  <c r="N9" i="2"/>
  <c r="M9" i="2"/>
  <c r="F29" i="2" s="1"/>
  <c r="L9" i="2"/>
  <c r="N8" i="2"/>
  <c r="M8" i="2"/>
  <c r="F28" i="2" s="1"/>
  <c r="L8" i="2"/>
  <c r="N7" i="2"/>
  <c r="M7" i="2"/>
  <c r="F27" i="2" s="1"/>
  <c r="L7" i="2"/>
  <c r="N6" i="2"/>
  <c r="M6" i="2"/>
  <c r="F26" i="2" s="1"/>
  <c r="L6" i="2"/>
  <c r="N5" i="2"/>
  <c r="M5" i="2"/>
  <c r="L5" i="2"/>
  <c r="W28" i="1"/>
  <c r="W41" i="1" s="1"/>
  <c r="K41" i="1" s="1"/>
  <c r="V28" i="1"/>
  <c r="V41" i="1" s="1"/>
  <c r="J41" i="1" s="1"/>
  <c r="U28" i="1"/>
  <c r="U41" i="1" s="1"/>
  <c r="I41" i="1" s="1"/>
  <c r="T28" i="1"/>
  <c r="T41" i="1" s="1"/>
  <c r="H41" i="1" s="1"/>
  <c r="S28" i="1"/>
  <c r="S41" i="1" s="1"/>
  <c r="G41" i="1" s="1"/>
  <c r="R28" i="1"/>
  <c r="R41" i="1" s="1"/>
  <c r="F41" i="1" s="1"/>
  <c r="Q28" i="1"/>
  <c r="Q41" i="1" s="1"/>
  <c r="E41" i="1" s="1"/>
  <c r="P28" i="1"/>
  <c r="P41" i="1" s="1"/>
  <c r="D41" i="1" s="1"/>
  <c r="O28" i="1"/>
  <c r="O41" i="1" s="1"/>
  <c r="C41" i="1" s="1"/>
  <c r="N28" i="1"/>
  <c r="N41" i="1" s="1"/>
  <c r="B41" i="1" s="1"/>
  <c r="W27" i="1"/>
  <c r="W40" i="1" s="1"/>
  <c r="K40" i="1" s="1"/>
  <c r="V27" i="1"/>
  <c r="V40" i="1" s="1"/>
  <c r="J40" i="1" s="1"/>
  <c r="U27" i="1"/>
  <c r="U40" i="1" s="1"/>
  <c r="I40" i="1" s="1"/>
  <c r="T27" i="1"/>
  <c r="T40" i="1" s="1"/>
  <c r="H40" i="1" s="1"/>
  <c r="S27" i="1"/>
  <c r="S40" i="1" s="1"/>
  <c r="G40" i="1" s="1"/>
  <c r="R27" i="1"/>
  <c r="R40" i="1" s="1"/>
  <c r="F40" i="1" s="1"/>
  <c r="Q27" i="1"/>
  <c r="Q40" i="1" s="1"/>
  <c r="E40" i="1" s="1"/>
  <c r="P27" i="1"/>
  <c r="P40" i="1" s="1"/>
  <c r="D40" i="1" s="1"/>
  <c r="O27" i="1"/>
  <c r="O40" i="1" s="1"/>
  <c r="C40" i="1" s="1"/>
  <c r="N27" i="1"/>
  <c r="N40" i="1" s="1"/>
  <c r="B40" i="1" s="1"/>
  <c r="W26" i="1"/>
  <c r="W39" i="1" s="1"/>
  <c r="K39" i="1" s="1"/>
  <c r="V26" i="1"/>
  <c r="V39" i="1" s="1"/>
  <c r="J39" i="1" s="1"/>
  <c r="U26" i="1"/>
  <c r="U39" i="1" s="1"/>
  <c r="I39" i="1" s="1"/>
  <c r="T26" i="1"/>
  <c r="T39" i="1" s="1"/>
  <c r="H39" i="1" s="1"/>
  <c r="S26" i="1"/>
  <c r="S39" i="1" s="1"/>
  <c r="G39" i="1" s="1"/>
  <c r="R26" i="1"/>
  <c r="R39" i="1" s="1"/>
  <c r="F39" i="1" s="1"/>
  <c r="Q26" i="1"/>
  <c r="Q39" i="1" s="1"/>
  <c r="E39" i="1" s="1"/>
  <c r="P26" i="1"/>
  <c r="P39" i="1" s="1"/>
  <c r="D39" i="1" s="1"/>
  <c r="O26" i="1"/>
  <c r="O39" i="1" s="1"/>
  <c r="C39" i="1" s="1"/>
  <c r="N26" i="1"/>
  <c r="N39" i="1" s="1"/>
  <c r="B39" i="1" s="1"/>
  <c r="W25" i="1"/>
  <c r="W38" i="1" s="1"/>
  <c r="K38" i="1" s="1"/>
  <c r="V25" i="1"/>
  <c r="V38" i="1" s="1"/>
  <c r="J38" i="1" s="1"/>
  <c r="U25" i="1"/>
  <c r="U38" i="1" s="1"/>
  <c r="I38" i="1" s="1"/>
  <c r="T25" i="1"/>
  <c r="T38" i="1" s="1"/>
  <c r="H38" i="1" s="1"/>
  <c r="S25" i="1"/>
  <c r="S38" i="1" s="1"/>
  <c r="G38" i="1" s="1"/>
  <c r="R25" i="1"/>
  <c r="R38" i="1" s="1"/>
  <c r="F38" i="1" s="1"/>
  <c r="Q25" i="1"/>
  <c r="Q38" i="1" s="1"/>
  <c r="E38" i="1" s="1"/>
  <c r="P25" i="1"/>
  <c r="P38" i="1" s="1"/>
  <c r="D38" i="1" s="1"/>
  <c r="O25" i="1"/>
  <c r="O38" i="1" s="1"/>
  <c r="C38" i="1" s="1"/>
  <c r="N25" i="1"/>
  <c r="N38" i="1" s="1"/>
  <c r="B38" i="1" s="1"/>
  <c r="W24" i="1"/>
  <c r="W37" i="1" s="1"/>
  <c r="K37" i="1" s="1"/>
  <c r="V24" i="1"/>
  <c r="V37" i="1" s="1"/>
  <c r="J37" i="1" s="1"/>
  <c r="U24" i="1"/>
  <c r="U37" i="1" s="1"/>
  <c r="I37" i="1" s="1"/>
  <c r="T24" i="1"/>
  <c r="T37" i="1" s="1"/>
  <c r="H37" i="1" s="1"/>
  <c r="S24" i="1"/>
  <c r="S37" i="1" s="1"/>
  <c r="G37" i="1" s="1"/>
  <c r="R24" i="1"/>
  <c r="R37" i="1" s="1"/>
  <c r="F37" i="1" s="1"/>
  <c r="Q24" i="1"/>
  <c r="Q37" i="1" s="1"/>
  <c r="E37" i="1" s="1"/>
  <c r="P24" i="1"/>
  <c r="P37" i="1" s="1"/>
  <c r="D37" i="1" s="1"/>
  <c r="O24" i="1"/>
  <c r="O37" i="1" s="1"/>
  <c r="C37" i="1" s="1"/>
  <c r="N24" i="1"/>
  <c r="N37" i="1" s="1"/>
  <c r="B37" i="1" s="1"/>
  <c r="W23" i="1"/>
  <c r="W36" i="1" s="1"/>
  <c r="K36" i="1" s="1"/>
  <c r="V23" i="1"/>
  <c r="V36" i="1" s="1"/>
  <c r="J36" i="1" s="1"/>
  <c r="U23" i="1"/>
  <c r="U36" i="1" s="1"/>
  <c r="I36" i="1" s="1"/>
  <c r="T23" i="1"/>
  <c r="T36" i="1" s="1"/>
  <c r="H36" i="1" s="1"/>
  <c r="S23" i="1"/>
  <c r="S36" i="1" s="1"/>
  <c r="G36" i="1" s="1"/>
  <c r="R23" i="1"/>
  <c r="R36" i="1" s="1"/>
  <c r="F36" i="1" s="1"/>
  <c r="Q23" i="1"/>
  <c r="Q36" i="1" s="1"/>
  <c r="E36" i="1" s="1"/>
  <c r="P23" i="1"/>
  <c r="P36" i="1" s="1"/>
  <c r="D36" i="1" s="1"/>
  <c r="O23" i="1"/>
  <c r="O36" i="1" s="1"/>
  <c r="C36" i="1" s="1"/>
  <c r="N23" i="1"/>
  <c r="N36" i="1" s="1"/>
  <c r="B36" i="1" s="1"/>
  <c r="W22" i="1"/>
  <c r="W35" i="1" s="1"/>
  <c r="K35" i="1" s="1"/>
  <c r="V22" i="1"/>
  <c r="V35" i="1" s="1"/>
  <c r="J35" i="1" s="1"/>
  <c r="U22" i="1"/>
  <c r="U35" i="1" s="1"/>
  <c r="I35" i="1" s="1"/>
  <c r="T22" i="1"/>
  <c r="T35" i="1" s="1"/>
  <c r="H35" i="1" s="1"/>
  <c r="S22" i="1"/>
  <c r="S35" i="1" s="1"/>
  <c r="G35" i="1" s="1"/>
  <c r="R22" i="1"/>
  <c r="R35" i="1" s="1"/>
  <c r="F35" i="1" s="1"/>
  <c r="Q22" i="1"/>
  <c r="Q35" i="1" s="1"/>
  <c r="E35" i="1" s="1"/>
  <c r="P22" i="1"/>
  <c r="P35" i="1" s="1"/>
  <c r="D35" i="1" s="1"/>
  <c r="O22" i="1"/>
  <c r="O35" i="1" s="1"/>
  <c r="C35" i="1" s="1"/>
  <c r="N22" i="1"/>
  <c r="N35" i="1" s="1"/>
  <c r="B35" i="1" s="1"/>
  <c r="W21" i="1"/>
  <c r="W34" i="1" s="1"/>
  <c r="K34" i="1" s="1"/>
  <c r="V21" i="1"/>
  <c r="V34" i="1" s="1"/>
  <c r="J34" i="1" s="1"/>
  <c r="U21" i="1"/>
  <c r="U34" i="1" s="1"/>
  <c r="I34" i="1" s="1"/>
  <c r="T21" i="1"/>
  <c r="T34" i="1" s="1"/>
  <c r="H34" i="1" s="1"/>
  <c r="S21" i="1"/>
  <c r="S34" i="1" s="1"/>
  <c r="G34" i="1" s="1"/>
  <c r="R21" i="1"/>
  <c r="R34" i="1" s="1"/>
  <c r="F34" i="1" s="1"/>
  <c r="Q21" i="1"/>
  <c r="Q34" i="1" s="1"/>
  <c r="E34" i="1" s="1"/>
  <c r="P21" i="1"/>
  <c r="P34" i="1" s="1"/>
  <c r="D34" i="1" s="1"/>
  <c r="O21" i="1"/>
  <c r="O34" i="1" s="1"/>
  <c r="C34" i="1" s="1"/>
  <c r="N21" i="1"/>
  <c r="N34" i="1" s="1"/>
  <c r="B34" i="1" s="1"/>
  <c r="W20" i="1"/>
  <c r="W33" i="1" s="1"/>
  <c r="K33" i="1" s="1"/>
  <c r="V20" i="1"/>
  <c r="V33" i="1" s="1"/>
  <c r="J33" i="1" s="1"/>
  <c r="U20" i="1"/>
  <c r="U33" i="1" s="1"/>
  <c r="I33" i="1" s="1"/>
  <c r="T20" i="1"/>
  <c r="T33" i="1" s="1"/>
  <c r="H33" i="1" s="1"/>
  <c r="S20" i="1"/>
  <c r="S33" i="1" s="1"/>
  <c r="G33" i="1" s="1"/>
  <c r="R20" i="1"/>
  <c r="R33" i="1" s="1"/>
  <c r="F33" i="1" s="1"/>
  <c r="Q20" i="1"/>
  <c r="Q33" i="1" s="1"/>
  <c r="E33" i="1" s="1"/>
  <c r="P20" i="1"/>
  <c r="P33" i="1" s="1"/>
  <c r="D33" i="1" s="1"/>
  <c r="O20" i="1"/>
  <c r="O33" i="1" s="1"/>
  <c r="C33" i="1" s="1"/>
  <c r="N20" i="1"/>
  <c r="N33" i="1" s="1"/>
  <c r="B33" i="1" s="1"/>
  <c r="W19" i="1"/>
  <c r="W32" i="1" s="1"/>
  <c r="K32" i="1" s="1"/>
  <c r="V19" i="1"/>
  <c r="V32" i="1" s="1"/>
  <c r="J32" i="1" s="1"/>
  <c r="U19" i="1"/>
  <c r="U32" i="1" s="1"/>
  <c r="I32" i="1" s="1"/>
  <c r="T19" i="1"/>
  <c r="T32" i="1" s="1"/>
  <c r="H32" i="1" s="1"/>
  <c r="S19" i="1"/>
  <c r="S32" i="1" s="1"/>
  <c r="G32" i="1" s="1"/>
  <c r="R19" i="1"/>
  <c r="R32" i="1" s="1"/>
  <c r="F32" i="1" s="1"/>
  <c r="Q19" i="1"/>
  <c r="Q32" i="1" s="1"/>
  <c r="E32" i="1" s="1"/>
  <c r="P19" i="1"/>
  <c r="P32" i="1" s="1"/>
  <c r="D32" i="1" s="1"/>
  <c r="O19" i="1"/>
  <c r="O32" i="1" s="1"/>
  <c r="C32" i="1" s="1"/>
  <c r="N19" i="1"/>
  <c r="N32" i="1" s="1"/>
  <c r="B32" i="1" s="1"/>
  <c r="K15" i="1"/>
  <c r="J15" i="1"/>
  <c r="I15" i="1"/>
  <c r="H15" i="1"/>
  <c r="G15" i="1"/>
  <c r="F15" i="1"/>
  <c r="E15" i="1"/>
  <c r="D15" i="1"/>
  <c r="C15" i="1"/>
  <c r="B15" i="1"/>
  <c r="L14" i="1"/>
  <c r="L13" i="1"/>
  <c r="L12" i="1"/>
  <c r="L11" i="1"/>
  <c r="L10" i="1"/>
  <c r="L9" i="1"/>
  <c r="L8" i="1"/>
  <c r="L7" i="1"/>
  <c r="L6" i="1"/>
  <c r="L5" i="1"/>
  <c r="L15" i="1" s="1"/>
  <c r="D49" i="3" l="1"/>
  <c r="E49" i="3" s="1"/>
  <c r="B52" i="3"/>
  <c r="E87" i="2"/>
  <c r="K55" i="1"/>
  <c r="J55" i="1"/>
  <c r="I55" i="1"/>
  <c r="H55" i="1"/>
  <c r="G55" i="1"/>
  <c r="F55" i="1"/>
  <c r="E55" i="1"/>
  <c r="D55" i="1"/>
  <c r="C55" i="1"/>
  <c r="K54" i="1"/>
  <c r="J54" i="1"/>
  <c r="I54" i="1"/>
  <c r="H54" i="1"/>
  <c r="G54" i="1"/>
  <c r="F54" i="1"/>
  <c r="E54" i="1"/>
  <c r="D54" i="1"/>
  <c r="C54" i="1"/>
  <c r="K53" i="1"/>
  <c r="J53" i="1"/>
  <c r="I53" i="1"/>
  <c r="H53" i="1"/>
  <c r="G53" i="1"/>
  <c r="F53" i="1"/>
  <c r="E53" i="1"/>
  <c r="D53" i="1"/>
  <c r="C53" i="1"/>
  <c r="K52" i="1"/>
  <c r="J52" i="1"/>
  <c r="I52" i="1"/>
  <c r="H52" i="1"/>
  <c r="G52" i="1"/>
  <c r="F52" i="1"/>
  <c r="E52" i="1"/>
  <c r="D52" i="1"/>
  <c r="C52" i="1"/>
  <c r="K51" i="1"/>
  <c r="J51" i="1"/>
  <c r="I51" i="1"/>
  <c r="H51" i="1"/>
  <c r="G51" i="1"/>
  <c r="F51" i="1"/>
  <c r="E51" i="1"/>
  <c r="D51" i="1"/>
  <c r="C51" i="1"/>
  <c r="K50" i="1"/>
  <c r="J50" i="1"/>
  <c r="I50" i="1"/>
  <c r="H50" i="1"/>
  <c r="G50" i="1"/>
  <c r="F50" i="1"/>
  <c r="E50" i="1"/>
  <c r="D50" i="1"/>
  <c r="C50" i="1"/>
  <c r="K49" i="1"/>
  <c r="J49" i="1"/>
  <c r="I49" i="1"/>
  <c r="H49" i="1"/>
  <c r="G49" i="1"/>
  <c r="F49" i="1"/>
  <c r="E49" i="1"/>
  <c r="D49" i="1"/>
  <c r="C49" i="1"/>
  <c r="K48" i="1"/>
  <c r="J48" i="1"/>
  <c r="I48" i="1"/>
  <c r="H48" i="1"/>
  <c r="G48" i="1"/>
  <c r="F48" i="1"/>
  <c r="E48" i="1"/>
  <c r="D48" i="1"/>
  <c r="C48" i="1"/>
  <c r="K47" i="1"/>
  <c r="J47" i="1"/>
  <c r="I47" i="1"/>
  <c r="H47" i="1"/>
  <c r="G47" i="1"/>
  <c r="F47" i="1"/>
  <c r="E47" i="1"/>
  <c r="D47" i="1"/>
  <c r="C47" i="1"/>
  <c r="B44" i="1" s="1"/>
  <c r="L45" i="2"/>
  <c r="K45" i="2"/>
  <c r="J45" i="2"/>
  <c r="I45" i="2"/>
  <c r="H45" i="2"/>
  <c r="G45" i="2"/>
  <c r="F45" i="2"/>
  <c r="E45" i="2"/>
  <c r="D45" i="2"/>
  <c r="B25" i="2"/>
  <c r="C25" i="2" s="1"/>
  <c r="D25" i="2" s="1"/>
  <c r="B18" i="2"/>
  <c r="B38" i="2" s="1"/>
  <c r="F25" i="2"/>
  <c r="B21" i="2"/>
  <c r="E25" i="2"/>
  <c r="O5" i="2"/>
  <c r="L46" i="2"/>
  <c r="K46" i="2"/>
  <c r="J46" i="2"/>
  <c r="I46" i="2"/>
  <c r="H46" i="2"/>
  <c r="G46" i="2"/>
  <c r="F46" i="2"/>
  <c r="E46" i="2"/>
  <c r="C46" i="2"/>
  <c r="B26" i="2"/>
  <c r="C26" i="2" s="1"/>
  <c r="D26" i="2" s="1"/>
  <c r="E26" i="2"/>
  <c r="O6" i="2"/>
  <c r="L47" i="2"/>
  <c r="K47" i="2"/>
  <c r="J47" i="2"/>
  <c r="I47" i="2"/>
  <c r="H47" i="2"/>
  <c r="G47" i="2"/>
  <c r="F47" i="2"/>
  <c r="D47" i="2"/>
  <c r="C47" i="2"/>
  <c r="B27" i="2"/>
  <c r="C27" i="2" s="1"/>
  <c r="D27" i="2" s="1"/>
  <c r="E27" i="2"/>
  <c r="O7" i="2"/>
  <c r="L48" i="2"/>
  <c r="K48" i="2"/>
  <c r="J48" i="2"/>
  <c r="I48" i="2"/>
  <c r="H48" i="2"/>
  <c r="G48" i="2"/>
  <c r="E48" i="2"/>
  <c r="D48" i="2"/>
  <c r="C48" i="2"/>
  <c r="B28" i="2"/>
  <c r="C28" i="2" s="1"/>
  <c r="D28" i="2" s="1"/>
  <c r="E28" i="2"/>
  <c r="O8" i="2"/>
  <c r="L49" i="2"/>
  <c r="K49" i="2"/>
  <c r="J49" i="2"/>
  <c r="I49" i="2"/>
  <c r="H49" i="2"/>
  <c r="F49" i="2"/>
  <c r="E49" i="2"/>
  <c r="D49" i="2"/>
  <c r="C49" i="2"/>
  <c r="B29" i="2"/>
  <c r="C29" i="2" s="1"/>
  <c r="D29" i="2" s="1"/>
  <c r="E29" i="2"/>
  <c r="O9" i="2"/>
  <c r="L50" i="2"/>
  <c r="K50" i="2"/>
  <c r="J50" i="2"/>
  <c r="I50" i="2"/>
  <c r="G50" i="2"/>
  <c r="F50" i="2"/>
  <c r="E50" i="2"/>
  <c r="D50" i="2"/>
  <c r="C50" i="2"/>
  <c r="B30" i="2"/>
  <c r="C30" i="2" s="1"/>
  <c r="D30" i="2" s="1"/>
  <c r="E30" i="2"/>
  <c r="O10" i="2"/>
  <c r="L51" i="2"/>
  <c r="K51" i="2"/>
  <c r="J51" i="2"/>
  <c r="H51" i="2"/>
  <c r="G51" i="2"/>
  <c r="F51" i="2"/>
  <c r="E51" i="2"/>
  <c r="D51" i="2"/>
  <c r="C51" i="2"/>
  <c r="B31" i="2"/>
  <c r="C31" i="2" s="1"/>
  <c r="D31" i="2" s="1"/>
  <c r="E31" i="2"/>
  <c r="O11" i="2"/>
  <c r="L52" i="2"/>
  <c r="K52" i="2"/>
  <c r="I52" i="2"/>
  <c r="H52" i="2"/>
  <c r="G52" i="2"/>
  <c r="F52" i="2"/>
  <c r="E52" i="2"/>
  <c r="D52" i="2"/>
  <c r="C52" i="2"/>
  <c r="B32" i="2"/>
  <c r="C32" i="2" s="1"/>
  <c r="D32" i="2" s="1"/>
  <c r="E32" i="2"/>
  <c r="O12" i="2"/>
  <c r="L53" i="2"/>
  <c r="J53" i="2"/>
  <c r="I53" i="2"/>
  <c r="H53" i="2"/>
  <c r="G53" i="2"/>
  <c r="F53" i="2"/>
  <c r="E53" i="2"/>
  <c r="D53" i="2"/>
  <c r="C53" i="2"/>
  <c r="B33" i="2"/>
  <c r="C33" i="2" s="1"/>
  <c r="D33" i="2" s="1"/>
  <c r="E33" i="2"/>
  <c r="O13" i="2"/>
  <c r="K54" i="2"/>
  <c r="J54" i="2"/>
  <c r="I54" i="2"/>
  <c r="H54" i="2"/>
  <c r="G54" i="2"/>
  <c r="F54" i="2"/>
  <c r="E54" i="2"/>
  <c r="D54" i="2"/>
  <c r="C54" i="2"/>
  <c r="B34" i="2"/>
  <c r="C34" i="2" s="1"/>
  <c r="D34" i="2" s="1"/>
  <c r="E34" i="2"/>
  <c r="O14" i="2"/>
  <c r="B39" i="2"/>
  <c r="I27" i="2"/>
  <c r="B51" i="3"/>
  <c r="B50" i="3"/>
  <c r="I28" i="2" l="1"/>
  <c r="I29" i="2" s="1"/>
  <c r="I30" i="2" s="1"/>
  <c r="I31" i="2" s="1"/>
  <c r="I32" i="2" s="1"/>
  <c r="I33" i="2" s="1"/>
  <c r="I34" i="2" s="1"/>
  <c r="C39" i="2"/>
  <c r="D39" i="2" s="1"/>
  <c r="H26" i="2"/>
  <c r="O52" i="2"/>
  <c r="V45" i="2"/>
  <c r="T51" i="2"/>
  <c r="U50" i="2"/>
  <c r="P50" i="2"/>
  <c r="T46" i="2"/>
  <c r="S51" i="2"/>
  <c r="S50" i="2"/>
  <c r="U49" i="2"/>
  <c r="T49" i="2"/>
  <c r="P49" i="2"/>
  <c r="S46" i="2"/>
  <c r="R51" i="2"/>
  <c r="R50" i="2"/>
  <c r="R49" i="2"/>
  <c r="U48" i="2"/>
  <c r="T48" i="2"/>
  <c r="S48" i="2"/>
  <c r="P48" i="2"/>
  <c r="Q51" i="2"/>
  <c r="Q50" i="2"/>
  <c r="Q49" i="2"/>
  <c r="Q48" i="2"/>
  <c r="U47" i="2"/>
  <c r="T47" i="2"/>
  <c r="S47" i="2"/>
  <c r="R47" i="2"/>
  <c r="P52" i="2"/>
  <c r="P51" i="2"/>
  <c r="P47" i="2"/>
  <c r="V46" i="2"/>
  <c r="U46" i="2"/>
  <c r="R46" i="2"/>
  <c r="Q46" i="2"/>
  <c r="O51" i="2"/>
  <c r="O50" i="2"/>
  <c r="O49" i="2"/>
  <c r="O48" i="2"/>
  <c r="O47" i="2"/>
  <c r="O46" i="2"/>
  <c r="U45" i="2"/>
  <c r="T45" i="2"/>
  <c r="S45" i="2"/>
  <c r="R45" i="2"/>
  <c r="Q45" i="2"/>
  <c r="P45" i="2"/>
  <c r="B40" i="2"/>
  <c r="H27" i="2" l="1"/>
  <c r="C68" i="2"/>
  <c r="C82" i="2" s="1"/>
  <c r="K68" i="2"/>
  <c r="K82" i="2" s="1"/>
  <c r="J68" i="2"/>
  <c r="J82" i="2" s="1"/>
  <c r="I68" i="2"/>
  <c r="I82" i="2" s="1"/>
  <c r="H68" i="2"/>
  <c r="H82" i="2" s="1"/>
  <c r="G68" i="2"/>
  <c r="G82" i="2" s="1"/>
  <c r="F68" i="2"/>
  <c r="F82" i="2" s="1"/>
  <c r="E68" i="2"/>
  <c r="E82" i="2" s="1"/>
  <c r="C67" i="2"/>
  <c r="C81" i="2" s="1"/>
  <c r="L67" i="2"/>
  <c r="L81" i="2" s="1"/>
  <c r="J67" i="2"/>
  <c r="J81" i="2" s="1"/>
  <c r="I67" i="2"/>
  <c r="I81" i="2" s="1"/>
  <c r="H67" i="2"/>
  <c r="H81" i="2" s="1"/>
  <c r="G67" i="2"/>
  <c r="G81" i="2" s="1"/>
  <c r="F67" i="2"/>
  <c r="F81" i="2" s="1"/>
  <c r="E67" i="2"/>
  <c r="E81" i="2" s="1"/>
  <c r="C66" i="2"/>
  <c r="C80" i="2" s="1"/>
  <c r="L66" i="2"/>
  <c r="L80" i="2" s="1"/>
  <c r="K66" i="2"/>
  <c r="K80" i="2" s="1"/>
  <c r="I66" i="2"/>
  <c r="I80" i="2" s="1"/>
  <c r="H66" i="2"/>
  <c r="H80" i="2" s="1"/>
  <c r="G66" i="2"/>
  <c r="G80" i="2" s="1"/>
  <c r="F66" i="2"/>
  <c r="F80" i="2" s="1"/>
  <c r="E66" i="2"/>
  <c r="E80" i="2" s="1"/>
  <c r="C65" i="2"/>
  <c r="C79" i="2" s="1"/>
  <c r="L65" i="2"/>
  <c r="L79" i="2" s="1"/>
  <c r="K65" i="2"/>
  <c r="K79" i="2" s="1"/>
  <c r="J65" i="2"/>
  <c r="J79" i="2" s="1"/>
  <c r="H65" i="2"/>
  <c r="H79" i="2" s="1"/>
  <c r="G65" i="2"/>
  <c r="G79" i="2" s="1"/>
  <c r="F65" i="2"/>
  <c r="F79" i="2" s="1"/>
  <c r="E65" i="2"/>
  <c r="E79" i="2" s="1"/>
  <c r="C64" i="2"/>
  <c r="C78" i="2" s="1"/>
  <c r="L64" i="2"/>
  <c r="L78" i="2" s="1"/>
  <c r="K64" i="2"/>
  <c r="K78" i="2" s="1"/>
  <c r="J64" i="2"/>
  <c r="J78" i="2" s="1"/>
  <c r="I64" i="2"/>
  <c r="I78" i="2" s="1"/>
  <c r="G64" i="2"/>
  <c r="G78" i="2" s="1"/>
  <c r="F64" i="2"/>
  <c r="F78" i="2" s="1"/>
  <c r="E64" i="2"/>
  <c r="E78" i="2" s="1"/>
  <c r="C63" i="2"/>
  <c r="C77" i="2" s="1"/>
  <c r="L63" i="2"/>
  <c r="L77" i="2" s="1"/>
  <c r="K63" i="2"/>
  <c r="K77" i="2" s="1"/>
  <c r="J63" i="2"/>
  <c r="J77" i="2" s="1"/>
  <c r="I63" i="2"/>
  <c r="I77" i="2" s="1"/>
  <c r="H63" i="2"/>
  <c r="H77" i="2" s="1"/>
  <c r="F63" i="2"/>
  <c r="F77" i="2" s="1"/>
  <c r="E63" i="2"/>
  <c r="E77" i="2" s="1"/>
  <c r="C62" i="2"/>
  <c r="C76" i="2" s="1"/>
  <c r="L62" i="2"/>
  <c r="L76" i="2" s="1"/>
  <c r="K62" i="2"/>
  <c r="K76" i="2" s="1"/>
  <c r="J62" i="2"/>
  <c r="J76" i="2" s="1"/>
  <c r="I62" i="2"/>
  <c r="I76" i="2" s="1"/>
  <c r="H62" i="2"/>
  <c r="H76" i="2" s="1"/>
  <c r="G62" i="2"/>
  <c r="G76" i="2" s="1"/>
  <c r="E62" i="2"/>
  <c r="E76" i="2" s="1"/>
  <c r="C61" i="2"/>
  <c r="C75" i="2" s="1"/>
  <c r="L61" i="2"/>
  <c r="L75" i="2" s="1"/>
  <c r="K61" i="2"/>
  <c r="K75" i="2" s="1"/>
  <c r="J61" i="2"/>
  <c r="J75" i="2" s="1"/>
  <c r="I61" i="2"/>
  <c r="I75" i="2" s="1"/>
  <c r="H61" i="2"/>
  <c r="H75" i="2" s="1"/>
  <c r="G61" i="2"/>
  <c r="G75" i="2" s="1"/>
  <c r="F61" i="2"/>
  <c r="F75" i="2" s="1"/>
  <c r="D61" i="2"/>
  <c r="D75" i="2" s="1"/>
  <c r="C60" i="2"/>
  <c r="C74" i="2" s="1"/>
  <c r="L60" i="2"/>
  <c r="L74" i="2" s="1"/>
  <c r="K60" i="2"/>
  <c r="K74" i="2" s="1"/>
  <c r="J60" i="2"/>
  <c r="J74" i="2" s="1"/>
  <c r="I60" i="2"/>
  <c r="I74" i="2" s="1"/>
  <c r="H60" i="2"/>
  <c r="H74" i="2" s="1"/>
  <c r="G60" i="2"/>
  <c r="G74" i="2" s="1"/>
  <c r="F60" i="2"/>
  <c r="F74" i="2" s="1"/>
  <c r="E60" i="2"/>
  <c r="E74" i="2" s="1"/>
  <c r="L59" i="2"/>
  <c r="L73" i="2" s="1"/>
  <c r="K59" i="2"/>
  <c r="K73" i="2" s="1"/>
  <c r="J59" i="2"/>
  <c r="J73" i="2" s="1"/>
  <c r="I59" i="2"/>
  <c r="I73" i="2" s="1"/>
  <c r="H59" i="2"/>
  <c r="H73" i="2" s="1"/>
  <c r="G59" i="2"/>
  <c r="G73" i="2" s="1"/>
  <c r="F59" i="2"/>
  <c r="F73" i="2" s="1"/>
  <c r="E59" i="2"/>
  <c r="E73" i="2" s="1"/>
  <c r="D59" i="2"/>
  <c r="D73" i="2" s="1"/>
  <c r="H28" i="2" l="1"/>
  <c r="H29" i="2" s="1"/>
  <c r="H30" i="2" s="1"/>
  <c r="H31" i="2" s="1"/>
  <c r="H32" i="2" s="1"/>
  <c r="H33" i="2" s="1"/>
  <c r="H34" i="2" s="1"/>
  <c r="C38" i="2"/>
  <c r="C40" i="2" l="1"/>
  <c r="D38" i="2"/>
  <c r="E38" i="2" s="1"/>
</calcChain>
</file>

<file path=xl/sharedStrings.xml><?xml version="1.0" encoding="utf-8"?>
<sst xmlns="http://schemas.openxmlformats.org/spreadsheetml/2006/main" count="424" uniqueCount="90">
  <si>
    <t>x^2 Calculator</t>
  </si>
  <si>
    <t>1. Enter Values Here (min. 2x2 table)</t>
  </si>
  <si>
    <t>A. Calculation (total column divided by total row)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</si>
  <si>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</si>
  <si>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</si>
  <si>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</si>
  <si>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</si>
  <si>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</si>
  <si>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</si>
  <si>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</si>
  <si>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</si>
  <si>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</si>
  <si>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</si>
  <si>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</si>
  <si>
    <t>2. Expected Values</t>
  </si>
  <si>
    <t>B. Calculation (observed minus expected)</t>
  </si>
  <si>
    <t>3. Chi Squared Values Contributions</t>
  </si>
  <si>
    <t>C. Calculation (B to the 2nd power)</t>
  </si>
  <si>
    <t>4. Chi Squared Value</t>
  </si>
  <si>
    <t>x^2</t>
  </si>
  <si>
    <t>--</t>
  </si>
  <si>
    <t>5. Degrees of Freedom</t>
  </si>
  <si>
    <t>ANOVA Calculator</t>
  </si>
  <si>
    <t>1-7, ANOVA Calculator with entering data.  A-C, ANOVA Calculator with entering ANOVA table and two n values and two mean values.</t>
  </si>
  <si>
    <t>1. Enter in Values</t>
  </si>
  <si>
    <t>Average (row)</t>
  </si>
  <si>
    <t>StDev</t>
  </si>
  <si>
    <r>
      <rPr>
        <b/>
        <sz val="10"/>
        <color theme="1"/>
        <rFont val="Arial"/>
      </rPr>
      <t>n</t>
    </r>
    <r>
      <rPr>
        <b/>
        <sz val="6"/>
        <color theme="1"/>
        <rFont val="Arial"/>
      </rPr>
      <t>i</t>
    </r>
  </si>
  <si>
    <r>
      <rPr>
        <b/>
        <sz val="10"/>
        <color theme="1"/>
        <rFont val="Arial"/>
      </rPr>
      <t>n</t>
    </r>
    <r>
      <rPr>
        <b/>
        <sz val="6"/>
        <color theme="1"/>
        <rFont val="Arial"/>
      </rPr>
      <t>i</t>
    </r>
    <r>
      <rPr>
        <b/>
        <sz val="10"/>
        <color theme="1"/>
        <rFont val="Arial"/>
      </rPr>
      <t xml:space="preserve"> ^-</t>
    </r>
    <r>
      <rPr>
        <b/>
        <sz val="6"/>
        <color theme="1"/>
        <rFont val="Arial"/>
      </rPr>
      <t>1</t>
    </r>
  </si>
  <si>
    <t>2. Value summary</t>
  </si>
  <si>
    <t>total:</t>
  </si>
  <si>
    <t>k:</t>
  </si>
  <si>
    <t>n:</t>
  </si>
  <si>
    <t>Overall Average:</t>
  </si>
  <si>
    <t>t-stat?</t>
  </si>
  <si>
    <t>3. Calculations</t>
  </si>
  <si>
    <t>row-overall</t>
  </si>
  <si>
    <t>2nd power</t>
  </si>
  <si>
    <t>contrib. to SSG</t>
  </si>
  <si>
    <t>n-1</t>
  </si>
  <si>
    <t>s^2</t>
  </si>
  <si>
    <t>Contrib. to SSE</t>
  </si>
  <si>
    <t>SSG</t>
  </si>
  <si>
    <t>SSE</t>
  </si>
  <si>
    <t>4. ANOVA Table</t>
  </si>
  <si>
    <t>Source</t>
  </si>
  <si>
    <t>DF</t>
  </si>
  <si>
    <t>SS</t>
  </si>
  <si>
    <t>MS</t>
  </si>
  <si>
    <t>Group</t>
  </si>
  <si>
    <t>Error</t>
  </si>
  <si>
    <t>5. Difference in Means</t>
  </si>
  <si>
    <t>(A-B)</t>
  </si>
  <si>
    <t>Value B</t>
  </si>
  <si>
    <t>i</t>
  </si>
  <si>
    <t>Value A</t>
  </si>
  <si>
    <t>j</t>
  </si>
  <si>
    <t>6. Standard Error</t>
  </si>
  <si>
    <t>7. t-stat</t>
  </si>
  <si>
    <t>A. From ANOVA to Standard Error/t-stat (only enter what's bolded)</t>
  </si>
  <si>
    <t>B. Value Summary (only enter what's bolded, i-j)</t>
  </si>
  <si>
    <t>k</t>
  </si>
  <si>
    <t>n</t>
  </si>
  <si>
    <t>n 1</t>
  </si>
  <si>
    <t>n 2</t>
  </si>
  <si>
    <t>Average i</t>
  </si>
  <si>
    <t>Average j</t>
  </si>
  <si>
    <t>C. Standard Error</t>
  </si>
  <si>
    <t>(i+j)^-1</t>
  </si>
  <si>
    <t>i-j</t>
  </si>
  <si>
    <t>Standard Error</t>
  </si>
  <si>
    <t>t-stat</t>
  </si>
  <si>
    <t>Regression Intervals</t>
  </si>
  <si>
    <t>1. Enter in Values Regression Equation (Enter what's emphasized) b+mx format</t>
  </si>
  <si>
    <t>b_0 (b)</t>
  </si>
  <si>
    <t>b_1 (m)</t>
  </si>
  <si>
    <t>x</t>
  </si>
  <si>
    <t>Y_hat</t>
  </si>
  <si>
    <t>2. Enter in x values in table</t>
  </si>
  <si>
    <t>A. SSModel (y_hat-y_line)^2</t>
  </si>
  <si>
    <t>3. Predicted Y-values</t>
  </si>
  <si>
    <t>B. SSError (y-y_hat)^2</t>
  </si>
  <si>
    <t>4. Enter in y value</t>
  </si>
  <si>
    <t>C. SSTotal (y-y_line)^2</t>
  </si>
  <si>
    <t>Totals</t>
  </si>
  <si>
    <t>y_line</t>
  </si>
  <si>
    <t>5. ANOVA Table</t>
  </si>
  <si>
    <t>Model</t>
  </si>
  <si>
    <t>R^2</t>
  </si>
  <si>
    <t>S_epsilon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</si>
</sst>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  <font>
      <sz val="10"/>
      <color rgb="FFFFFFFF"/>
      <name val="Arial"/>
      <scheme val="minor"/>
    </font>
    <font>
      <sz val="11"/>
      <color theme="1"/>
      <name val="Arial"/>
      <scheme val="minor"/>
    </font>
    <font>
      <sz val="10"/>
      <color theme="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6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theme="1"/>
        <bgColor theme="1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4" fillId="12" borderId="1" xfId="0" applyFont="1" applyFill="1" applyBorder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3" fillId="16" borderId="0" xfId="0" applyFont="1" applyFill="1"/>
    <xf numFmtId="0" fontId="3" fillId="17" borderId="0" xfId="0" applyFont="1" applyFill="1"/>
    <xf numFmtId="0" fontId="3" fillId="18" borderId="0" xfId="0" applyFont="1" applyFill="1"/>
    <xf numFmtId="0" fontId="3" fillId="19" borderId="0" xfId="0" applyFont="1" applyFill="1"/>
    <xf numFmtId="0" fontId="3" fillId="20" borderId="0" xfId="0" applyFont="1" applyFill="1"/>
    <xf numFmtId="0" fontId="3" fillId="21" borderId="0" xfId="0" applyFont="1" applyFill="1"/>
    <xf numFmtId="0" fontId="3" fillId="22" borderId="0" xfId="0" applyFont="1" applyFill="1"/>
    <xf numFmtId="0" fontId="5" fillId="12" borderId="1" xfId="0" applyFont="1" applyFill="1" applyBorder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7" borderId="0" xfId="0" applyFont="1" applyFill="1"/>
    <xf numFmtId="0" fontId="6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6" fillId="21" borderId="0" xfId="0" applyFont="1" applyFill="1"/>
    <xf numFmtId="0" fontId="6" fillId="22" borderId="0" xfId="0" applyFont="1" applyFill="1"/>
    <xf numFmtId="0" fontId="7" fillId="23" borderId="1" xfId="0" applyFont="1" applyFill="1" applyBorder="1"/>
    <xf numFmtId="0" fontId="7" fillId="12" borderId="1" xfId="0" applyFont="1" applyFill="1" applyBorder="1"/>
    <xf numFmtId="0" fontId="3" fillId="24" borderId="0" xfId="0" applyFont="1" applyFill="1"/>
    <xf numFmtId="0" fontId="4" fillId="23" borderId="0" xfId="0" applyFont="1" applyFill="1"/>
    <xf numFmtId="0" fontId="0" fillId="15" borderId="0" xfId="0" applyFill="1"/>
    <xf numFmtId="0" fontId="3" fillId="0" borderId="0" xfId="0" applyFont="1"/>
    <xf numFmtId="0" fontId="2" fillId="24" borderId="0" xfId="0" applyFont="1" applyFill="1"/>
    <xf numFmtId="0" fontId="8" fillId="0" borderId="2" xfId="0" applyFont="1" applyBorder="1"/>
    <xf numFmtId="0" fontId="9" fillId="0" borderId="0" xfId="0" applyFont="1"/>
    <xf numFmtId="0" fontId="8" fillId="2" borderId="0" xfId="0" applyFont="1" applyFill="1"/>
    <xf numFmtId="0" fontId="9" fillId="13" borderId="0" xfId="0" applyFont="1" applyFill="1" applyAlignment="1">
      <alignment horizontal="right"/>
    </xf>
    <xf numFmtId="0" fontId="8" fillId="3" borderId="0" xfId="0" applyFont="1" applyFill="1"/>
    <xf numFmtId="0" fontId="9" fillId="14" borderId="0" xfId="0" applyFont="1" applyFill="1" applyAlignment="1">
      <alignment horizontal="right"/>
    </xf>
    <xf numFmtId="0" fontId="8" fillId="4" borderId="0" xfId="0" applyFont="1" applyFill="1"/>
    <xf numFmtId="0" fontId="9" fillId="15" borderId="0" xfId="0" applyFont="1" applyFill="1" applyAlignment="1">
      <alignment horizontal="right"/>
    </xf>
    <xf numFmtId="0" fontId="8" fillId="5" borderId="0" xfId="0" applyFont="1" applyFill="1"/>
    <xf numFmtId="0" fontId="9" fillId="16" borderId="0" xfId="0" applyFont="1" applyFill="1" applyAlignment="1">
      <alignment horizontal="right"/>
    </xf>
    <xf numFmtId="0" fontId="2" fillId="6" borderId="0" xfId="0" applyFont="1" applyFill="1"/>
    <xf numFmtId="0" fontId="3" fillId="17" borderId="0" xfId="0" applyFont="1" applyFill="1" applyAlignment="1">
      <alignment horizontal="center"/>
    </xf>
    <xf numFmtId="0" fontId="3" fillId="25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9" fillId="24" borderId="0" xfId="0" applyFont="1" applyFill="1"/>
    <xf numFmtId="0" fontId="2" fillId="25" borderId="0" xfId="0" applyFont="1" applyFill="1"/>
    <xf numFmtId="0" fontId="2" fillId="24" borderId="0" xfId="0" applyFont="1" applyFill="1" applyAlignment="1">
      <alignment horizontal="center"/>
    </xf>
    <xf numFmtId="0" fontId="9" fillId="2" borderId="0" xfId="0" applyFont="1" applyFill="1"/>
    <xf numFmtId="0" fontId="9" fillId="3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6" borderId="0" xfId="0" applyFont="1" applyFill="1"/>
    <xf numFmtId="0" fontId="9" fillId="7" borderId="0" xfId="0" applyFont="1" applyFill="1"/>
    <xf numFmtId="0" fontId="9" fillId="8" borderId="0" xfId="0" applyFont="1" applyFill="1"/>
    <xf numFmtId="0" fontId="9" fillId="9" borderId="0" xfId="0" applyFont="1" applyFill="1"/>
    <xf numFmtId="0" fontId="9" fillId="10" borderId="0" xfId="0" applyFont="1" applyFill="1"/>
    <xf numFmtId="0" fontId="9" fillId="11" borderId="0" xfId="0" applyFont="1" applyFill="1"/>
    <xf numFmtId="0" fontId="9" fillId="13" borderId="0" xfId="0" applyFont="1" applyFill="1"/>
    <xf numFmtId="0" fontId="9" fillId="14" borderId="0" xfId="0" applyFont="1" applyFill="1"/>
    <xf numFmtId="0" fontId="9" fillId="15" borderId="0" xfId="0" applyFont="1" applyFill="1"/>
    <xf numFmtId="0" fontId="9" fillId="16" borderId="0" xfId="0" applyFont="1" applyFill="1"/>
    <xf numFmtId="0" fontId="9" fillId="17" borderId="0" xfId="0" applyFont="1" applyFill="1"/>
    <xf numFmtId="0" fontId="0" fillId="17" borderId="0" xfId="0" applyFill="1"/>
    <xf numFmtId="0" fontId="2" fillId="0" borderId="0" xfId="0" applyFont="1" applyAlignment="1">
      <alignment horizontal="center"/>
    </xf>
    <xf numFmtId="0" fontId="9" fillId="18" borderId="0" xfId="0" applyFont="1" applyFill="1"/>
    <xf numFmtId="0" fontId="9" fillId="19" borderId="0" xfId="0" applyFont="1" applyFill="1"/>
    <xf numFmtId="0" fontId="9" fillId="20" borderId="0" xfId="0" applyFont="1" applyFill="1"/>
    <xf numFmtId="0" fontId="9" fillId="21" borderId="0" xfId="0" applyFont="1" applyFill="1"/>
    <xf numFmtId="0" fontId="9" fillId="22" borderId="0" xfId="0" applyFont="1" applyFill="1"/>
    <xf numFmtId="0" fontId="0" fillId="24" borderId="0" xfId="0" applyFill="1"/>
    <xf numFmtId="0" fontId="3" fillId="12" borderId="0" xfId="0" applyFont="1" applyFill="1"/>
    <xf numFmtId="0" fontId="3" fillId="14" borderId="3" xfId="0" applyFont="1" applyFill="1" applyBorder="1"/>
    <xf numFmtId="0" fontId="3" fillId="15" borderId="4" xfId="0" applyFont="1" applyFill="1" applyBorder="1"/>
    <xf numFmtId="0" fontId="3" fillId="15" borderId="5" xfId="0" applyFont="1" applyFill="1" applyBorder="1"/>
    <xf numFmtId="0" fontId="3" fillId="15" borderId="6" xfId="0" applyFont="1" applyFill="1" applyBorder="1"/>
    <xf numFmtId="0" fontId="8" fillId="4" borderId="3" xfId="0" applyFont="1" applyFill="1" applyBorder="1"/>
    <xf numFmtId="0" fontId="9" fillId="15" borderId="4" xfId="0" applyFont="1" applyFill="1" applyBorder="1" applyAlignment="1">
      <alignment horizontal="right"/>
    </xf>
    <xf numFmtId="0" fontId="8" fillId="5" borderId="7" xfId="0" applyFont="1" applyFill="1" applyBorder="1"/>
    <xf numFmtId="0" fontId="9" fillId="16" borderId="8" xfId="0" applyFont="1" applyFill="1" applyBorder="1" applyAlignment="1">
      <alignment horizontal="right"/>
    </xf>
    <xf numFmtId="0" fontId="8" fillId="6" borderId="7" xfId="0" applyFont="1" applyFill="1" applyBorder="1"/>
    <xf numFmtId="0" fontId="9" fillId="17" borderId="8" xfId="0" applyFont="1" applyFill="1" applyBorder="1"/>
    <xf numFmtId="0" fontId="8" fillId="7" borderId="5" xfId="0" applyFont="1" applyFill="1" applyBorder="1"/>
    <xf numFmtId="0" fontId="9" fillId="18" borderId="6" xfId="0" applyFont="1" applyFill="1" applyBorder="1"/>
    <xf numFmtId="0" fontId="3" fillId="2" borderId="3" xfId="0" applyFont="1" applyFill="1" applyBorder="1"/>
    <xf numFmtId="0" fontId="3" fillId="3" borderId="9" xfId="0" applyFont="1" applyFill="1" applyBorder="1"/>
    <xf numFmtId="0" fontId="3" fillId="4" borderId="4" xfId="0" applyFont="1" applyFill="1" applyBorder="1"/>
    <xf numFmtId="0" fontId="3" fillId="13" borderId="5" xfId="0" applyFont="1" applyFill="1" applyBorder="1"/>
    <xf numFmtId="0" fontId="3" fillId="1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8"/>
  <sheetViews>
    <sheetView tabSelected="1" workbookViewId="0"/>
  </sheetViews>
  <sheetFormatPr defaultColWidth="12.5703125" defaultRowHeight="15.75" customHeight="1"/>
  <sheetData>
    <row r="1" spans="1:23">
      <c r="A1" s="1" t="s">
        <v>0</v>
      </c>
    </row>
    <row r="2" spans="1:23">
      <c r="A2" s="2"/>
    </row>
    <row r="3" spans="1:23">
      <c r="A3" s="2" t="s">
        <v>1</v>
      </c>
      <c r="N3" s="2" t="s">
        <v>2</v>
      </c>
    </row>
    <row r="4" spans="1:23"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  <c r="K4" s="12" t="s">
        <v>12</v>
      </c>
      <c r="L4" s="13" t="s">
        <v>13</v>
      </c>
      <c r="N4" s="3" t="s">
        <v>3</v>
      </c>
      <c r="O4" s="4" t="s">
        <v>4</v>
      </c>
      <c r="P4" s="5" t="s">
        <v>5</v>
      </c>
      <c r="Q4" s="6" t="s">
        <v>6</v>
      </c>
      <c r="R4" s="7" t="s">
        <v>7</v>
      </c>
      <c r="S4" s="8" t="s">
        <v>8</v>
      </c>
      <c r="T4" s="9" t="s">
        <v>9</v>
      </c>
      <c r="U4" s="10" t="s">
        <v>10</v>
      </c>
      <c r="V4" s="11" t="s">
        <v>11</v>
      </c>
      <c r="W4" s="12" t="s">
        <v>12</v>
      </c>
    </row>
    <row r="5" spans="1:23">
      <c r="A5" s="3">
        <v>1</v>
      </c>
      <c r="B5" s="14">
        <v>295</v>
      </c>
      <c r="C5" s="15">
        <v>1347</v>
      </c>
      <c r="D5" s="16">
        <v>726</v>
      </c>
      <c r="E5" s="17"/>
      <c r="F5" s="18"/>
      <c r="G5" s="19"/>
      <c r="H5" s="20"/>
      <c r="I5" s="21"/>
      <c r="J5" s="22"/>
      <c r="K5" s="23"/>
      <c r="L5" s="24">
        <f t="shared" ref="L5:L14" si="0">SUM(B5:K5)</f>
        <v>2368</v>
      </c>
      <c r="M5" s="3">
        <v>1</v>
      </c>
      <c r="N5" s="14">
        <f>_xlfn.SINGLE((B15 * L5))</f>
        <v>1091648</v>
      </c>
      <c r="O5" s="15">
        <f>_xlfn.SINGLE((C15 * L5))</f>
        <v>5304320</v>
      </c>
      <c r="P5" s="16">
        <f>_xlfn.SINGLE((D15 * L5))</f>
        <v>2216448</v>
      </c>
      <c r="Q5" s="17">
        <f>_xlfn.SINGLE((E15 * L5))</f>
        <v>0</v>
      </c>
      <c r="R5" s="18">
        <f>_xlfn.SINGLE((F15 * L5))</f>
        <v>0</v>
      </c>
      <c r="S5" s="19">
        <f>_xlfn.SINGLE((G15 * L5))</f>
        <v>0</v>
      </c>
      <c r="T5" s="20">
        <f>_xlfn.SINGLE((H15 * L5))</f>
        <v>0</v>
      </c>
      <c r="U5" s="21">
        <f>_xlfn.SINGLE((I15 * L5))</f>
        <v>0</v>
      </c>
      <c r="V5" s="22">
        <f>_xlfn.SINGLE((J15 * L5))</f>
        <v>0</v>
      </c>
      <c r="W5" s="23">
        <f>_xlfn.SINGLE((K15 * L5))</f>
        <v>0</v>
      </c>
    </row>
    <row r="6" spans="1:23">
      <c r="A6" s="4">
        <v>2</v>
      </c>
      <c r="B6" s="15">
        <v>76</v>
      </c>
      <c r="C6" s="15">
        <v>876</v>
      </c>
      <c r="D6" s="16">
        <v>120</v>
      </c>
      <c r="E6" s="17"/>
      <c r="F6" s="18"/>
      <c r="G6" s="19"/>
      <c r="H6" s="20"/>
      <c r="I6" s="21"/>
      <c r="J6" s="22"/>
      <c r="K6" s="23"/>
      <c r="L6" s="24">
        <f t="shared" si="0"/>
        <v>1072</v>
      </c>
      <c r="M6" s="4">
        <v>2</v>
      </c>
      <c r="N6" s="25">
        <f>_xlfn.SINGLE((B15 * L6))</f>
        <v>494192</v>
      </c>
      <c r="O6" s="25">
        <f>_xlfn.SINGLE((C15 * L6))</f>
        <v>2401280</v>
      </c>
      <c r="P6" s="26">
        <f>_xlfn.SINGLE((D15 * L6))</f>
        <v>1003392</v>
      </c>
      <c r="Q6" s="27">
        <f>_xlfn.SINGLE((E15 * L6))</f>
        <v>0</v>
      </c>
      <c r="R6" s="28">
        <f>_xlfn.SINGLE((F15 * L6))</f>
        <v>0</v>
      </c>
      <c r="S6" s="29">
        <f>_xlfn.SINGLE((G15 * L6))</f>
        <v>0</v>
      </c>
      <c r="T6" s="30">
        <f>_xlfn.SINGLE((H15 * L6))</f>
        <v>0</v>
      </c>
      <c r="U6" s="31">
        <f>_xlfn.SINGLE((I15 * L6))</f>
        <v>0</v>
      </c>
      <c r="V6" s="32">
        <f>_xlfn.SINGLE((J15 * L6))</f>
        <v>0</v>
      </c>
      <c r="W6" s="33">
        <f>_xlfn.SINGLE((K15 * L6))</f>
        <v>0</v>
      </c>
    </row>
    <row r="7" spans="1:23">
      <c r="A7" s="5">
        <v>3</v>
      </c>
      <c r="B7" s="16">
        <v>90</v>
      </c>
      <c r="C7" s="16">
        <v>17</v>
      </c>
      <c r="D7" s="16">
        <v>90</v>
      </c>
      <c r="E7" s="17"/>
      <c r="F7" s="18"/>
      <c r="G7" s="19"/>
      <c r="H7" s="20"/>
      <c r="I7" s="21"/>
      <c r="J7" s="22"/>
      <c r="K7" s="23"/>
      <c r="L7" s="24">
        <f t="shared" si="0"/>
        <v>197</v>
      </c>
      <c r="M7" s="5">
        <v>3</v>
      </c>
      <c r="N7" s="16">
        <f>_xlfn.SINGLE((B15 * L7))</f>
        <v>90817</v>
      </c>
      <c r="O7" s="16">
        <f>_xlfn.SINGLE((C15 * L7))</f>
        <v>441280</v>
      </c>
      <c r="P7" s="16">
        <f>_xlfn.SINGLE((D15 * L7))</f>
        <v>184392</v>
      </c>
      <c r="Q7" s="17">
        <f>_xlfn.SINGLE((E15 * L7))</f>
        <v>0</v>
      </c>
      <c r="R7" s="18">
        <f>_xlfn.SINGLE((F15 * L7))</f>
        <v>0</v>
      </c>
      <c r="S7" s="19">
        <f>_xlfn.SINGLE((G15 * L7))</f>
        <v>0</v>
      </c>
      <c r="T7" s="20">
        <f>_xlfn.SINGLE((H15 * L7))</f>
        <v>0</v>
      </c>
      <c r="U7" s="21">
        <f>_xlfn.SINGLE((I15 * L7))</f>
        <v>0</v>
      </c>
      <c r="V7" s="22">
        <f>_xlfn.SINGLE((J15 * L7))</f>
        <v>0</v>
      </c>
      <c r="W7" s="23">
        <f>_xlfn.SINGLE((K15 * L7))</f>
        <v>0</v>
      </c>
    </row>
    <row r="8" spans="1:23">
      <c r="A8" s="6">
        <v>4</v>
      </c>
      <c r="B8" s="17"/>
      <c r="C8" s="17"/>
      <c r="D8" s="17"/>
      <c r="E8" s="17"/>
      <c r="F8" s="18"/>
      <c r="G8" s="19"/>
      <c r="H8" s="20"/>
      <c r="I8" s="21"/>
      <c r="J8" s="22"/>
      <c r="K8" s="23"/>
      <c r="L8" s="24">
        <f t="shared" si="0"/>
        <v>0</v>
      </c>
      <c r="M8" s="6">
        <v>4</v>
      </c>
      <c r="N8" s="17">
        <f>_xlfn.SINGLE((B15 * L8))</f>
        <v>0</v>
      </c>
      <c r="O8" s="17">
        <f>_xlfn.SINGLE((C15 * L8))</f>
        <v>0</v>
      </c>
      <c r="P8" s="17">
        <f>_xlfn.SINGLE((D15 * L8))</f>
        <v>0</v>
      </c>
      <c r="Q8" s="17">
        <f>_xlfn.SINGLE((E15 * L8))</f>
        <v>0</v>
      </c>
      <c r="R8" s="18">
        <f>_xlfn.SINGLE((F15 * L8))</f>
        <v>0</v>
      </c>
      <c r="S8" s="19">
        <f>_xlfn.SINGLE((G15 * L8))</f>
        <v>0</v>
      </c>
      <c r="T8" s="20">
        <f>_xlfn.SINGLE((H15 * L8))</f>
        <v>0</v>
      </c>
      <c r="U8" s="21">
        <f>_xlfn.SINGLE((I15 * L8))</f>
        <v>0</v>
      </c>
      <c r="V8" s="22">
        <f>_xlfn.SINGLE((J15 * L8))</f>
        <v>0</v>
      </c>
      <c r="W8" s="23">
        <f>_xlfn.SINGLE((K15 * L8))</f>
        <v>0</v>
      </c>
    </row>
    <row r="9" spans="1:23">
      <c r="A9" s="7">
        <v>5</v>
      </c>
      <c r="B9" s="18"/>
      <c r="C9" s="18"/>
      <c r="D9" s="18"/>
      <c r="E9" s="18"/>
      <c r="F9" s="18"/>
      <c r="G9" s="19"/>
      <c r="H9" s="20"/>
      <c r="I9" s="21"/>
      <c r="J9" s="22"/>
      <c r="K9" s="23"/>
      <c r="L9" s="24">
        <f t="shared" si="0"/>
        <v>0</v>
      </c>
      <c r="M9" s="7">
        <v>5</v>
      </c>
      <c r="N9" s="18">
        <f>_xlfn.SINGLE((B15 * L9))</f>
        <v>0</v>
      </c>
      <c r="O9" s="18">
        <f>_xlfn.SINGLE((C15 * L9))</f>
        <v>0</v>
      </c>
      <c r="P9" s="18">
        <f>_xlfn.SINGLE((D15 * L9))</f>
        <v>0</v>
      </c>
      <c r="Q9" s="18">
        <f>_xlfn.SINGLE((E15 * L9))</f>
        <v>0</v>
      </c>
      <c r="R9" s="18">
        <f>_xlfn.SINGLE((F15 * L9))</f>
        <v>0</v>
      </c>
      <c r="S9" s="19">
        <f>_xlfn.SINGLE((G15 * L9))</f>
        <v>0</v>
      </c>
      <c r="T9" s="20">
        <f>_xlfn.SINGLE((H15 * L9))</f>
        <v>0</v>
      </c>
      <c r="U9" s="21">
        <f>_xlfn.SINGLE((I15 * L9))</f>
        <v>0</v>
      </c>
      <c r="V9" s="22">
        <f>_xlfn.SINGLE((J15 * L9))</f>
        <v>0</v>
      </c>
      <c r="W9" s="23">
        <f>_xlfn.SINGLE((K15 * L9))</f>
        <v>0</v>
      </c>
    </row>
    <row r="10" spans="1:23">
      <c r="A10" s="8">
        <v>6</v>
      </c>
      <c r="B10" s="19"/>
      <c r="C10" s="19"/>
      <c r="D10" s="19"/>
      <c r="E10" s="19"/>
      <c r="F10" s="19"/>
      <c r="G10" s="19"/>
      <c r="H10" s="20"/>
      <c r="I10" s="21"/>
      <c r="J10" s="22"/>
      <c r="K10" s="23"/>
      <c r="L10" s="24">
        <f t="shared" si="0"/>
        <v>0</v>
      </c>
      <c r="M10" s="8">
        <v>6</v>
      </c>
      <c r="N10" s="19">
        <f>_xlfn.SINGLE((B15 * L10))</f>
        <v>0</v>
      </c>
      <c r="O10" s="19">
        <f>_xlfn.SINGLE((C15 * L10))</f>
        <v>0</v>
      </c>
      <c r="P10" s="19">
        <f>_xlfn.SINGLE((D15 * L10))</f>
        <v>0</v>
      </c>
      <c r="Q10" s="19">
        <f>_xlfn.SINGLE((E15 * L10))</f>
        <v>0</v>
      </c>
      <c r="R10" s="19">
        <f>_xlfn.SINGLE((F15 * L10))</f>
        <v>0</v>
      </c>
      <c r="S10" s="19">
        <f>_xlfn.SINGLE((G15 * L10))</f>
        <v>0</v>
      </c>
      <c r="T10" s="20">
        <f>_xlfn.SINGLE((H15 * L10))</f>
        <v>0</v>
      </c>
      <c r="U10" s="21">
        <f>_xlfn.SINGLE((I15 * L10))</f>
        <v>0</v>
      </c>
      <c r="V10" s="22">
        <f>_xlfn.SINGLE((J15 * L10))</f>
        <v>0</v>
      </c>
      <c r="W10" s="23">
        <f>_xlfn.SINGLE((K15 * L10))</f>
        <v>0</v>
      </c>
    </row>
    <row r="11" spans="1:23">
      <c r="A11" s="9">
        <v>7</v>
      </c>
      <c r="B11" s="20"/>
      <c r="C11" s="20"/>
      <c r="D11" s="20"/>
      <c r="E11" s="20"/>
      <c r="F11" s="20"/>
      <c r="G11" s="20"/>
      <c r="H11" s="20"/>
      <c r="I11" s="21"/>
      <c r="J11" s="22"/>
      <c r="K11" s="23"/>
      <c r="L11" s="24">
        <f t="shared" si="0"/>
        <v>0</v>
      </c>
      <c r="M11" s="9">
        <v>7</v>
      </c>
      <c r="N11" s="20">
        <f>_xlfn.SINGLE((B15 * L11))</f>
        <v>0</v>
      </c>
      <c r="O11" s="20">
        <f>_xlfn.SINGLE((C15 * L11))</f>
        <v>0</v>
      </c>
      <c r="P11" s="20">
        <f>_xlfn.SINGLE((D15 * L11))</f>
        <v>0</v>
      </c>
      <c r="Q11" s="20">
        <f>_xlfn.SINGLE((E15 * L11))</f>
        <v>0</v>
      </c>
      <c r="R11" s="20">
        <f>_xlfn.SINGLE((F15 * L11))</f>
        <v>0</v>
      </c>
      <c r="S11" s="20">
        <f>_xlfn.SINGLE((G15 * L11))</f>
        <v>0</v>
      </c>
      <c r="T11" s="20">
        <f>_xlfn.SINGLE((H15 * L11))</f>
        <v>0</v>
      </c>
      <c r="U11" s="21">
        <f>_xlfn.SINGLE((I15 * L11))</f>
        <v>0</v>
      </c>
      <c r="V11" s="22">
        <f>_xlfn.SINGLE((J15 * L11))</f>
        <v>0</v>
      </c>
      <c r="W11" s="23">
        <f>_xlfn.SINGLE((K15 * L11))</f>
        <v>0</v>
      </c>
    </row>
    <row r="12" spans="1:23">
      <c r="A12" s="10">
        <v>8</v>
      </c>
      <c r="B12" s="21"/>
      <c r="C12" s="21"/>
      <c r="D12" s="21"/>
      <c r="E12" s="21"/>
      <c r="F12" s="21"/>
      <c r="G12" s="21"/>
      <c r="H12" s="21"/>
      <c r="I12" s="21"/>
      <c r="J12" s="22"/>
      <c r="K12" s="23"/>
      <c r="L12" s="24">
        <f t="shared" si="0"/>
        <v>0</v>
      </c>
      <c r="M12" s="10">
        <v>8</v>
      </c>
      <c r="N12" s="21">
        <f>_xlfn.SINGLE((B15 * L12))</f>
        <v>0</v>
      </c>
      <c r="O12" s="21">
        <f>_xlfn.SINGLE((C15 * L12))</f>
        <v>0</v>
      </c>
      <c r="P12" s="21">
        <f>_xlfn.SINGLE((D15 * L12))</f>
        <v>0</v>
      </c>
      <c r="Q12" s="21">
        <f>_xlfn.SINGLE((E15 * L12))</f>
        <v>0</v>
      </c>
      <c r="R12" s="21">
        <f>_xlfn.SINGLE((F15 * L12))</f>
        <v>0</v>
      </c>
      <c r="S12" s="21">
        <f>_xlfn.SINGLE((G15 * L12))</f>
        <v>0</v>
      </c>
      <c r="T12" s="21">
        <f>_xlfn.SINGLE((H15 * L12))</f>
        <v>0</v>
      </c>
      <c r="U12" s="21">
        <f>_xlfn.SINGLE((I15 * L12))</f>
        <v>0</v>
      </c>
      <c r="V12" s="22">
        <f>_xlfn.SINGLE((J15 * L12))</f>
        <v>0</v>
      </c>
      <c r="W12" s="23">
        <f>_xlfn.SINGLE((K15 * L12))</f>
        <v>0</v>
      </c>
    </row>
    <row r="13" spans="1:23">
      <c r="A13" s="11">
        <v>9</v>
      </c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24">
        <f t="shared" si="0"/>
        <v>0</v>
      </c>
      <c r="M13" s="11">
        <v>9</v>
      </c>
      <c r="N13" s="22">
        <f>_xlfn.SINGLE((B15 * L13))</f>
        <v>0</v>
      </c>
      <c r="O13" s="22">
        <f>_xlfn.SINGLE((C15 * L13))</f>
        <v>0</v>
      </c>
      <c r="P13" s="22">
        <f>_xlfn.SINGLE((D15 * L13))</f>
        <v>0</v>
      </c>
      <c r="Q13" s="22">
        <f>_xlfn.SINGLE((E15 * L13))</f>
        <v>0</v>
      </c>
      <c r="R13" s="22">
        <f>_xlfn.SINGLE((F15 * L13))</f>
        <v>0</v>
      </c>
      <c r="S13" s="22">
        <f>_xlfn.SINGLE((G15 * L13))</f>
        <v>0</v>
      </c>
      <c r="T13" s="22">
        <f>_xlfn.SINGLE((H15 * L13))</f>
        <v>0</v>
      </c>
      <c r="U13" s="22">
        <f>_xlfn.SINGLE((I15 * L13))</f>
        <v>0</v>
      </c>
      <c r="V13" s="22">
        <f>_xlfn.SINGLE((J15 * L13))</f>
        <v>0</v>
      </c>
      <c r="W13" s="23">
        <f>_xlfn.SINGLE((K15 * L13))</f>
        <v>0</v>
      </c>
    </row>
    <row r="14" spans="1:23">
      <c r="A14" s="12">
        <v>10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>
        <f t="shared" si="0"/>
        <v>0</v>
      </c>
      <c r="M14" s="12">
        <v>10</v>
      </c>
      <c r="N14" s="23">
        <f>_xlfn.SINGLE((B15 * L14))</f>
        <v>0</v>
      </c>
      <c r="O14" s="23">
        <f>_xlfn.SINGLE((C15 * L14))</f>
        <v>0</v>
      </c>
      <c r="P14" s="23">
        <f>_xlfn.SINGLE((D15 * L14))</f>
        <v>0</v>
      </c>
      <c r="Q14" s="23">
        <f>_xlfn.SINGLE((E15 * L14))</f>
        <v>0</v>
      </c>
      <c r="R14" s="23">
        <f>_xlfn.SINGLE((F15 * L14))</f>
        <v>0</v>
      </c>
      <c r="S14" s="23">
        <f>_xlfn.SINGLE((G15 * L14))</f>
        <v>0</v>
      </c>
      <c r="T14" s="23">
        <f>_xlfn.SINGLE((H15 * L14))</f>
        <v>0</v>
      </c>
      <c r="U14" s="23">
        <f>_xlfn.SINGLE((I15 * L14))</f>
        <v>0</v>
      </c>
      <c r="V14" s="23">
        <f>_xlfn.SINGLE((J15 * L14))</f>
        <v>0</v>
      </c>
      <c r="W14" s="23">
        <f>_xlfn.SINGLE((K15 * L14))</f>
        <v>0</v>
      </c>
    </row>
    <row r="15" spans="1:23">
      <c r="A15" s="13" t="s">
        <v>13</v>
      </c>
      <c r="B15" s="34">
        <f t="shared" ref="B15:L15" si="1">SUM(B5:B14)</f>
        <v>461</v>
      </c>
      <c r="C15" s="34">
        <f t="shared" si="1"/>
        <v>2240</v>
      </c>
      <c r="D15" s="34">
        <f t="shared" si="1"/>
        <v>936</v>
      </c>
      <c r="E15" s="34">
        <f t="shared" si="1"/>
        <v>0</v>
      </c>
      <c r="F15" s="34">
        <f t="shared" si="1"/>
        <v>0</v>
      </c>
      <c r="G15" s="34">
        <f t="shared" si="1"/>
        <v>0</v>
      </c>
      <c r="H15" s="34">
        <f t="shared" si="1"/>
        <v>0</v>
      </c>
      <c r="I15" s="34">
        <f t="shared" si="1"/>
        <v>0</v>
      </c>
      <c r="J15" s="34">
        <f t="shared" si="1"/>
        <v>0</v>
      </c>
      <c r="K15" s="34">
        <f t="shared" si="1"/>
        <v>0</v>
      </c>
      <c r="L15" s="35">
        <f t="shared" si="1"/>
        <v>3637</v>
      </c>
      <c r="R15" s="36"/>
    </row>
    <row r="17" spans="1:23">
      <c r="A17" s="2" t="s">
        <v>14</v>
      </c>
      <c r="N17" s="2" t="s">
        <v>15</v>
      </c>
    </row>
    <row r="18" spans="1:23">
      <c r="B18" s="3" t="s">
        <v>3</v>
      </c>
      <c r="C18" s="4" t="s">
        <v>4</v>
      </c>
      <c r="D18" s="5" t="s">
        <v>5</v>
      </c>
      <c r="E18" s="6" t="s">
        <v>6</v>
      </c>
      <c r="F18" s="7" t="s">
        <v>7</v>
      </c>
      <c r="G18" s="8" t="s">
        <v>8</v>
      </c>
      <c r="H18" s="9" t="s">
        <v>9</v>
      </c>
      <c r="I18" s="10" t="s">
        <v>10</v>
      </c>
      <c r="J18" s="11" t="s">
        <v>11</v>
      </c>
      <c r="K18" s="12" t="s">
        <v>12</v>
      </c>
      <c r="N18" s="3" t="s">
        <v>3</v>
      </c>
      <c r="O18" s="4" t="s">
        <v>4</v>
      </c>
      <c r="P18" s="5" t="s">
        <v>5</v>
      </c>
      <c r="Q18" s="6" t="s">
        <v>6</v>
      </c>
      <c r="R18" s="7" t="s">
        <v>7</v>
      </c>
      <c r="S18" s="8" t="s">
        <v>8</v>
      </c>
      <c r="T18" s="9" t="s">
        <v>9</v>
      </c>
      <c r="U18" s="10" t="s">
        <v>10</v>
      </c>
      <c r="V18" s="11" t="s">
        <v>11</v>
      </c>
      <c r="W18" s="12" t="s">
        <v>12</v>
      </c>
    </row>
    <row r="19" spans="1:23">
      <c r="A19" s="3">
        <v>1</v>
      </c>
      <c r="B19" s="14">
        <f>_xlfn.SINGLE((N5 / L15))</f>
        <v>300.15067363211438</v>
      </c>
      <c r="C19" s="15">
        <f>_xlfn.SINGLE((O5 / L15))</f>
        <v>1458.4327742645037</v>
      </c>
      <c r="D19" s="16">
        <f>_xlfn.SINGLE((P5 / L15))</f>
        <v>609.41655210338195</v>
      </c>
      <c r="E19" s="17">
        <f>_xlfn.SINGLE((Q5 / L15))</f>
        <v>0</v>
      </c>
      <c r="F19" s="18">
        <f>_xlfn.SINGLE((R5 / L15))</f>
        <v>0</v>
      </c>
      <c r="G19" s="19">
        <f>_xlfn.SINGLE((S5 / L15))</f>
        <v>0</v>
      </c>
      <c r="H19" s="20">
        <f>_xlfn.SINGLE((T5 / L15))</f>
        <v>0</v>
      </c>
      <c r="I19" s="21">
        <f>_xlfn.SINGLE((U5 / L15))</f>
        <v>0</v>
      </c>
      <c r="J19" s="22">
        <f>_xlfn.SINGLE((V5 / L15))</f>
        <v>0</v>
      </c>
      <c r="K19" s="23">
        <f>_xlfn.SINGLE((W5 / L15))</f>
        <v>0</v>
      </c>
      <c r="M19" s="3">
        <v>1</v>
      </c>
      <c r="N19" s="14">
        <f t="shared" ref="N19:W19" si="2">B5-B19</f>
        <v>-5.1506736321143762</v>
      </c>
      <c r="O19" s="15">
        <f t="shared" si="2"/>
        <v>-111.43277426450368</v>
      </c>
      <c r="P19" s="16">
        <f t="shared" si="2"/>
        <v>116.58344789661805</v>
      </c>
      <c r="Q19" s="17">
        <f t="shared" si="2"/>
        <v>0</v>
      </c>
      <c r="R19" s="18">
        <f t="shared" si="2"/>
        <v>0</v>
      </c>
      <c r="S19" s="19">
        <f t="shared" si="2"/>
        <v>0</v>
      </c>
      <c r="T19" s="20">
        <f t="shared" si="2"/>
        <v>0</v>
      </c>
      <c r="U19" s="21">
        <f t="shared" si="2"/>
        <v>0</v>
      </c>
      <c r="V19" s="22">
        <f t="shared" si="2"/>
        <v>0</v>
      </c>
      <c r="W19" s="23">
        <f t="shared" si="2"/>
        <v>0</v>
      </c>
    </row>
    <row r="20" spans="1:23">
      <c r="A20" s="4">
        <v>2</v>
      </c>
      <c r="B20" s="15">
        <f>_xlfn.SINGLE((N6 / L15))</f>
        <v>135.87902117129502</v>
      </c>
      <c r="C20" s="15">
        <f>_xlfn.SINGLE((O6 / L15))</f>
        <v>660.2364586197416</v>
      </c>
      <c r="D20" s="16">
        <f>_xlfn.SINGLE((P6 / L15))</f>
        <v>275.88452020896341</v>
      </c>
      <c r="E20" s="17">
        <f>_xlfn.SINGLE((Q6 / L15))</f>
        <v>0</v>
      </c>
      <c r="F20" s="18">
        <f>_xlfn.SINGLE((R6 / L15))</f>
        <v>0</v>
      </c>
      <c r="G20" s="19">
        <f>_xlfn.SINGLE((S6 / L15))</f>
        <v>0</v>
      </c>
      <c r="H20" s="20">
        <f>_xlfn.SINGLE((T6 / L15))</f>
        <v>0</v>
      </c>
      <c r="I20" s="21">
        <f>_xlfn.SINGLE((U6 / L15))</f>
        <v>0</v>
      </c>
      <c r="J20" s="22">
        <f>_xlfn.SINGLE((V6 / L15))</f>
        <v>0</v>
      </c>
      <c r="K20" s="23">
        <f>_xlfn.SINGLE((W6 / L15))</f>
        <v>0</v>
      </c>
      <c r="M20" s="4">
        <v>2</v>
      </c>
      <c r="N20" s="15">
        <f t="shared" ref="N20:W20" si="3">B6-B20</f>
        <v>-59.879021171295022</v>
      </c>
      <c r="O20" s="15">
        <f t="shared" si="3"/>
        <v>215.7635413802584</v>
      </c>
      <c r="P20" s="16">
        <f t="shared" si="3"/>
        <v>-155.88452020896341</v>
      </c>
      <c r="Q20" s="17">
        <f t="shared" si="3"/>
        <v>0</v>
      </c>
      <c r="R20" s="18">
        <f t="shared" si="3"/>
        <v>0</v>
      </c>
      <c r="S20" s="19">
        <f t="shared" si="3"/>
        <v>0</v>
      </c>
      <c r="T20" s="20">
        <f t="shared" si="3"/>
        <v>0</v>
      </c>
      <c r="U20" s="21">
        <f t="shared" si="3"/>
        <v>0</v>
      </c>
      <c r="V20" s="22">
        <f t="shared" si="3"/>
        <v>0</v>
      </c>
      <c r="W20" s="23">
        <f t="shared" si="3"/>
        <v>0</v>
      </c>
    </row>
    <row r="21" spans="1:23">
      <c r="A21" s="5">
        <v>3</v>
      </c>
      <c r="B21" s="16">
        <f>_xlfn.SINGLE((N7 / L15))</f>
        <v>24.970305196590598</v>
      </c>
      <c r="C21" s="16">
        <f>_xlfn.SINGLE((O7 / L15))</f>
        <v>121.33076711575474</v>
      </c>
      <c r="D21" s="16">
        <f>_xlfn.SINGLE((P7 / L15))</f>
        <v>50.69892768765466</v>
      </c>
      <c r="E21" s="17">
        <f>_xlfn.SINGLE((Q7 / L15))</f>
        <v>0</v>
      </c>
      <c r="F21" s="18">
        <f>_xlfn.SINGLE((R7 / L15))</f>
        <v>0</v>
      </c>
      <c r="G21" s="19">
        <f>_xlfn.SINGLE((S7 / L15))</f>
        <v>0</v>
      </c>
      <c r="H21" s="20">
        <f>_xlfn.SINGLE((T7 / L15))</f>
        <v>0</v>
      </c>
      <c r="I21" s="21">
        <f>_xlfn.SINGLE((U7 / L15))</f>
        <v>0</v>
      </c>
      <c r="J21" s="22">
        <f>_xlfn.SINGLE((V7 / L15))</f>
        <v>0</v>
      </c>
      <c r="K21" s="23">
        <f>_xlfn.SINGLE((W7 / L15))</f>
        <v>0</v>
      </c>
      <c r="M21" s="5">
        <v>3</v>
      </c>
      <c r="N21" s="16">
        <f t="shared" ref="N21:W21" si="4">B7-B21</f>
        <v>65.029694803409399</v>
      </c>
      <c r="O21" s="16">
        <f t="shared" si="4"/>
        <v>-104.33076711575474</v>
      </c>
      <c r="P21" s="16">
        <f t="shared" si="4"/>
        <v>39.30107231234534</v>
      </c>
      <c r="Q21" s="17">
        <f t="shared" si="4"/>
        <v>0</v>
      </c>
      <c r="R21" s="18">
        <f t="shared" si="4"/>
        <v>0</v>
      </c>
      <c r="S21" s="19">
        <f t="shared" si="4"/>
        <v>0</v>
      </c>
      <c r="T21" s="20">
        <f t="shared" si="4"/>
        <v>0</v>
      </c>
      <c r="U21" s="21">
        <f t="shared" si="4"/>
        <v>0</v>
      </c>
      <c r="V21" s="22">
        <f t="shared" si="4"/>
        <v>0</v>
      </c>
      <c r="W21" s="23">
        <f t="shared" si="4"/>
        <v>0</v>
      </c>
    </row>
    <row r="22" spans="1:23">
      <c r="A22" s="6">
        <v>4</v>
      </c>
      <c r="B22" s="17">
        <f>_xlfn.SINGLE((N8 / L15))</f>
        <v>0</v>
      </c>
      <c r="C22" s="17">
        <f>_xlfn.SINGLE((O8 / L15))</f>
        <v>0</v>
      </c>
      <c r="D22" s="17">
        <f>_xlfn.SINGLE((P8 / L15))</f>
        <v>0</v>
      </c>
      <c r="E22" s="17">
        <f>_xlfn.SINGLE((Q8 / L15))</f>
        <v>0</v>
      </c>
      <c r="F22" s="18">
        <f>_xlfn.SINGLE((R8 / L15))</f>
        <v>0</v>
      </c>
      <c r="G22" s="19">
        <f>_xlfn.SINGLE((S8 / L15))</f>
        <v>0</v>
      </c>
      <c r="H22" s="20">
        <f>_xlfn.SINGLE((T8 / L15))</f>
        <v>0</v>
      </c>
      <c r="I22" s="21">
        <f>_xlfn.SINGLE((U8 / L15))</f>
        <v>0</v>
      </c>
      <c r="J22" s="22">
        <f>_xlfn.SINGLE((V8 / L15))</f>
        <v>0</v>
      </c>
      <c r="K22" s="23">
        <f>_xlfn.SINGLE((W8 / L15))</f>
        <v>0</v>
      </c>
      <c r="M22" s="6">
        <v>4</v>
      </c>
      <c r="N22" s="17">
        <f t="shared" ref="N22:W22" si="5">B8-B22</f>
        <v>0</v>
      </c>
      <c r="O22" s="17">
        <f t="shared" si="5"/>
        <v>0</v>
      </c>
      <c r="P22" s="17">
        <f t="shared" si="5"/>
        <v>0</v>
      </c>
      <c r="Q22" s="17">
        <f t="shared" si="5"/>
        <v>0</v>
      </c>
      <c r="R22" s="18">
        <f t="shared" si="5"/>
        <v>0</v>
      </c>
      <c r="S22" s="19">
        <f t="shared" si="5"/>
        <v>0</v>
      </c>
      <c r="T22" s="20">
        <f t="shared" si="5"/>
        <v>0</v>
      </c>
      <c r="U22" s="21">
        <f t="shared" si="5"/>
        <v>0</v>
      </c>
      <c r="V22" s="22">
        <f t="shared" si="5"/>
        <v>0</v>
      </c>
      <c r="W22" s="23">
        <f t="shared" si="5"/>
        <v>0</v>
      </c>
    </row>
    <row r="23" spans="1:23">
      <c r="A23" s="7">
        <v>5</v>
      </c>
      <c r="B23" s="18">
        <f>_xlfn.SINGLE((N9 / L15))</f>
        <v>0</v>
      </c>
      <c r="C23" s="18">
        <f>_xlfn.SINGLE((O9 / L15))</f>
        <v>0</v>
      </c>
      <c r="D23" s="18">
        <f>_xlfn.SINGLE((P9 / L15))</f>
        <v>0</v>
      </c>
      <c r="E23" s="18">
        <f>_xlfn.SINGLE((Q9 / L15))</f>
        <v>0</v>
      </c>
      <c r="F23" s="18">
        <f>_xlfn.SINGLE((R9 / L15))</f>
        <v>0</v>
      </c>
      <c r="G23" s="19">
        <f>_xlfn.SINGLE((S9 / L15))</f>
        <v>0</v>
      </c>
      <c r="H23" s="20">
        <f>_xlfn.SINGLE((T9 / L15))</f>
        <v>0</v>
      </c>
      <c r="I23" s="21">
        <f>_xlfn.SINGLE((U9 / L15))</f>
        <v>0</v>
      </c>
      <c r="J23" s="22">
        <f>_xlfn.SINGLE((V9 / L15))</f>
        <v>0</v>
      </c>
      <c r="K23" s="23">
        <f>_xlfn.SINGLE((W9 / L15))</f>
        <v>0</v>
      </c>
      <c r="M23" s="7">
        <v>5</v>
      </c>
      <c r="N23" s="18">
        <f t="shared" ref="N23:W23" si="6">B9-B23</f>
        <v>0</v>
      </c>
      <c r="O23" s="18">
        <f t="shared" si="6"/>
        <v>0</v>
      </c>
      <c r="P23" s="18">
        <f t="shared" si="6"/>
        <v>0</v>
      </c>
      <c r="Q23" s="18">
        <f t="shared" si="6"/>
        <v>0</v>
      </c>
      <c r="R23" s="18">
        <f t="shared" si="6"/>
        <v>0</v>
      </c>
      <c r="S23" s="19">
        <f t="shared" si="6"/>
        <v>0</v>
      </c>
      <c r="T23" s="20">
        <f t="shared" si="6"/>
        <v>0</v>
      </c>
      <c r="U23" s="21">
        <f t="shared" si="6"/>
        <v>0</v>
      </c>
      <c r="V23" s="22">
        <f t="shared" si="6"/>
        <v>0</v>
      </c>
      <c r="W23" s="23">
        <f t="shared" si="6"/>
        <v>0</v>
      </c>
    </row>
    <row r="24" spans="1:23">
      <c r="A24" s="8">
        <v>6</v>
      </c>
      <c r="B24" s="19">
        <f>_xlfn.SINGLE((N10 / L15))</f>
        <v>0</v>
      </c>
      <c r="C24" s="19">
        <f>_xlfn.SINGLE((O10 / L15))</f>
        <v>0</v>
      </c>
      <c r="D24" s="19">
        <f>_xlfn.SINGLE((P10 / L15))</f>
        <v>0</v>
      </c>
      <c r="E24" s="19">
        <f>_xlfn.SINGLE((Q10 / L15))</f>
        <v>0</v>
      </c>
      <c r="F24" s="19">
        <f>_xlfn.SINGLE((R10 / L15))</f>
        <v>0</v>
      </c>
      <c r="G24" s="19">
        <f>_xlfn.SINGLE((S10 / L15))</f>
        <v>0</v>
      </c>
      <c r="H24" s="20">
        <f>_xlfn.SINGLE((T10 / L15))</f>
        <v>0</v>
      </c>
      <c r="I24" s="21">
        <f>_xlfn.SINGLE((U10 / L15))</f>
        <v>0</v>
      </c>
      <c r="J24" s="22">
        <f>_xlfn.SINGLE((V10 / L15))</f>
        <v>0</v>
      </c>
      <c r="K24" s="23">
        <f>_xlfn.SINGLE((W10 / L15))</f>
        <v>0</v>
      </c>
      <c r="M24" s="8">
        <v>6</v>
      </c>
      <c r="N24" s="19">
        <f t="shared" ref="N24:W24" si="7">B10-B24</f>
        <v>0</v>
      </c>
      <c r="O24" s="19">
        <f t="shared" si="7"/>
        <v>0</v>
      </c>
      <c r="P24" s="19">
        <f t="shared" si="7"/>
        <v>0</v>
      </c>
      <c r="Q24" s="19">
        <f t="shared" si="7"/>
        <v>0</v>
      </c>
      <c r="R24" s="19">
        <f t="shared" si="7"/>
        <v>0</v>
      </c>
      <c r="S24" s="19">
        <f t="shared" si="7"/>
        <v>0</v>
      </c>
      <c r="T24" s="20">
        <f t="shared" si="7"/>
        <v>0</v>
      </c>
      <c r="U24" s="21">
        <f t="shared" si="7"/>
        <v>0</v>
      </c>
      <c r="V24" s="22">
        <f t="shared" si="7"/>
        <v>0</v>
      </c>
      <c r="W24" s="23">
        <f t="shared" si="7"/>
        <v>0</v>
      </c>
    </row>
    <row r="25" spans="1:23">
      <c r="A25" s="9">
        <v>7</v>
      </c>
      <c r="B25" s="20">
        <f>_xlfn.SINGLE((N11 / L15))</f>
        <v>0</v>
      </c>
      <c r="C25" s="20">
        <f>_xlfn.SINGLE((O11 / L15))</f>
        <v>0</v>
      </c>
      <c r="D25" s="20">
        <f>_xlfn.SINGLE((P11 / L15))</f>
        <v>0</v>
      </c>
      <c r="E25" s="20">
        <f>_xlfn.SINGLE((Q11 / L15))</f>
        <v>0</v>
      </c>
      <c r="F25" s="20">
        <f>_xlfn.SINGLE((R11 / L15))</f>
        <v>0</v>
      </c>
      <c r="G25" s="20">
        <f>_xlfn.SINGLE((S11 / L15))</f>
        <v>0</v>
      </c>
      <c r="H25" s="20">
        <f>_xlfn.SINGLE((T11 / L15))</f>
        <v>0</v>
      </c>
      <c r="I25" s="21">
        <f>_xlfn.SINGLE((U11 / L15))</f>
        <v>0</v>
      </c>
      <c r="J25" s="22">
        <f>_xlfn.SINGLE((V11 / L15))</f>
        <v>0</v>
      </c>
      <c r="K25" s="23">
        <f>_xlfn.SINGLE((W11 / L15))</f>
        <v>0</v>
      </c>
      <c r="M25" s="9">
        <v>7</v>
      </c>
      <c r="N25" s="20">
        <f t="shared" ref="N25:W25" si="8">B11-B25</f>
        <v>0</v>
      </c>
      <c r="O25" s="20">
        <f t="shared" si="8"/>
        <v>0</v>
      </c>
      <c r="P25" s="20">
        <f t="shared" si="8"/>
        <v>0</v>
      </c>
      <c r="Q25" s="20">
        <f t="shared" si="8"/>
        <v>0</v>
      </c>
      <c r="R25" s="20">
        <f t="shared" si="8"/>
        <v>0</v>
      </c>
      <c r="S25" s="20">
        <f t="shared" si="8"/>
        <v>0</v>
      </c>
      <c r="T25" s="20">
        <f t="shared" si="8"/>
        <v>0</v>
      </c>
      <c r="U25" s="21">
        <f t="shared" si="8"/>
        <v>0</v>
      </c>
      <c r="V25" s="22">
        <f t="shared" si="8"/>
        <v>0</v>
      </c>
      <c r="W25" s="23">
        <f t="shared" si="8"/>
        <v>0</v>
      </c>
    </row>
    <row r="26" spans="1:23">
      <c r="A26" s="10">
        <v>8</v>
      </c>
      <c r="B26" s="21">
        <f>_xlfn.SINGLE((N12 / L15))</f>
        <v>0</v>
      </c>
      <c r="C26" s="21">
        <f>_xlfn.SINGLE((O12 / L15))</f>
        <v>0</v>
      </c>
      <c r="D26" s="21">
        <f>_xlfn.SINGLE((P12 / L15))</f>
        <v>0</v>
      </c>
      <c r="E26" s="21">
        <f>_xlfn.SINGLE((Q12 / L15))</f>
        <v>0</v>
      </c>
      <c r="F26" s="21">
        <f>_xlfn.SINGLE((R12 / L15))</f>
        <v>0</v>
      </c>
      <c r="G26" s="21">
        <f>_xlfn.SINGLE((S12 / L15))</f>
        <v>0</v>
      </c>
      <c r="H26" s="21">
        <f>_xlfn.SINGLE((T12 / L15))</f>
        <v>0</v>
      </c>
      <c r="I26" s="21">
        <f>_xlfn.SINGLE((U12 / L15))</f>
        <v>0</v>
      </c>
      <c r="J26" s="22">
        <f>_xlfn.SINGLE((V12 / L15))</f>
        <v>0</v>
      </c>
      <c r="K26" s="23">
        <f>_xlfn.SINGLE((W12 / L15))</f>
        <v>0</v>
      </c>
      <c r="M26" s="10">
        <v>8</v>
      </c>
      <c r="N26" s="21">
        <f t="shared" ref="N26:W26" si="9">B12-B26</f>
        <v>0</v>
      </c>
      <c r="O26" s="21">
        <f t="shared" si="9"/>
        <v>0</v>
      </c>
      <c r="P26" s="21">
        <f t="shared" si="9"/>
        <v>0</v>
      </c>
      <c r="Q26" s="21">
        <f t="shared" si="9"/>
        <v>0</v>
      </c>
      <c r="R26" s="21">
        <f t="shared" si="9"/>
        <v>0</v>
      </c>
      <c r="S26" s="21">
        <f t="shared" si="9"/>
        <v>0</v>
      </c>
      <c r="T26" s="21">
        <f t="shared" si="9"/>
        <v>0</v>
      </c>
      <c r="U26" s="21">
        <f t="shared" si="9"/>
        <v>0</v>
      </c>
      <c r="V26" s="22">
        <f t="shared" si="9"/>
        <v>0</v>
      </c>
      <c r="W26" s="23">
        <f t="shared" si="9"/>
        <v>0</v>
      </c>
    </row>
    <row r="27" spans="1:23">
      <c r="A27" s="11">
        <v>9</v>
      </c>
      <c r="B27" s="22">
        <f>_xlfn.SINGLE((N13 / L15))</f>
        <v>0</v>
      </c>
      <c r="C27" s="22">
        <f>_xlfn.SINGLE((O13 / L15))</f>
        <v>0</v>
      </c>
      <c r="D27" s="22">
        <f>_xlfn.SINGLE((P13 / L15))</f>
        <v>0</v>
      </c>
      <c r="E27" s="22">
        <f>_xlfn.SINGLE((Q13 / L15))</f>
        <v>0</v>
      </c>
      <c r="F27" s="22">
        <f>_xlfn.SINGLE((R13 / L15))</f>
        <v>0</v>
      </c>
      <c r="G27" s="22">
        <f>_xlfn.SINGLE((S13 / L15))</f>
        <v>0</v>
      </c>
      <c r="H27" s="22">
        <f>_xlfn.SINGLE((T13 / L15))</f>
        <v>0</v>
      </c>
      <c r="I27" s="22">
        <f>_xlfn.SINGLE((U13 / L15))</f>
        <v>0</v>
      </c>
      <c r="J27" s="22">
        <f>_xlfn.SINGLE((V13 / L15))</f>
        <v>0</v>
      </c>
      <c r="K27" s="23">
        <f>_xlfn.SINGLE((W13 / L15))</f>
        <v>0</v>
      </c>
      <c r="M27" s="11">
        <v>9</v>
      </c>
      <c r="N27" s="22">
        <f t="shared" ref="N27:W27" si="10">B13-B27</f>
        <v>0</v>
      </c>
      <c r="O27" s="22">
        <f t="shared" si="10"/>
        <v>0</v>
      </c>
      <c r="P27" s="22">
        <f t="shared" si="10"/>
        <v>0</v>
      </c>
      <c r="Q27" s="22">
        <f t="shared" si="10"/>
        <v>0</v>
      </c>
      <c r="R27" s="22">
        <f t="shared" si="10"/>
        <v>0</v>
      </c>
      <c r="S27" s="22">
        <f t="shared" si="10"/>
        <v>0</v>
      </c>
      <c r="T27" s="22">
        <f t="shared" si="10"/>
        <v>0</v>
      </c>
      <c r="U27" s="22">
        <f t="shared" si="10"/>
        <v>0</v>
      </c>
      <c r="V27" s="22">
        <f t="shared" si="10"/>
        <v>0</v>
      </c>
      <c r="W27" s="23">
        <f t="shared" si="10"/>
        <v>0</v>
      </c>
    </row>
    <row r="28" spans="1:23">
      <c r="A28" s="12">
        <v>10</v>
      </c>
      <c r="B28" s="23">
        <f>_xlfn.SINGLE((N14 / L15))</f>
        <v>0</v>
      </c>
      <c r="C28" s="23">
        <f>_xlfn.SINGLE((O14 / L15))</f>
        <v>0</v>
      </c>
      <c r="D28" s="23">
        <f>_xlfn.SINGLE((P14 / L15))</f>
        <v>0</v>
      </c>
      <c r="E28" s="23">
        <f>_xlfn.SINGLE((Q14 / L15))</f>
        <v>0</v>
      </c>
      <c r="F28" s="23">
        <f>_xlfn.SINGLE((R14 / L15))</f>
        <v>0</v>
      </c>
      <c r="G28" s="23">
        <f>_xlfn.SINGLE((S14 / L15))</f>
        <v>0</v>
      </c>
      <c r="H28" s="23">
        <f>_xlfn.SINGLE((T14 / L15))</f>
        <v>0</v>
      </c>
      <c r="I28" s="23">
        <f>_xlfn.SINGLE((U14 / L15))</f>
        <v>0</v>
      </c>
      <c r="J28" s="23">
        <f>_xlfn.SINGLE((V14 / L15))</f>
        <v>0</v>
      </c>
      <c r="K28" s="23">
        <f>_xlfn.SINGLE((W14 / L15))</f>
        <v>0</v>
      </c>
      <c r="M28" s="12">
        <v>10</v>
      </c>
      <c r="N28" s="23">
        <f t="shared" ref="N28:W28" si="11">B14-B28</f>
        <v>0</v>
      </c>
      <c r="O28" s="23">
        <f t="shared" si="11"/>
        <v>0</v>
      </c>
      <c r="P28" s="23">
        <f t="shared" si="11"/>
        <v>0</v>
      </c>
      <c r="Q28" s="23">
        <f t="shared" si="11"/>
        <v>0</v>
      </c>
      <c r="R28" s="23">
        <f t="shared" si="11"/>
        <v>0</v>
      </c>
      <c r="S28" s="23">
        <f t="shared" si="11"/>
        <v>0</v>
      </c>
      <c r="T28" s="23">
        <f t="shared" si="11"/>
        <v>0</v>
      </c>
      <c r="U28" s="23">
        <f t="shared" si="11"/>
        <v>0</v>
      </c>
      <c r="V28" s="23">
        <f t="shared" si="11"/>
        <v>0</v>
      </c>
      <c r="W28" s="23">
        <f t="shared" si="11"/>
        <v>0</v>
      </c>
    </row>
    <row r="30" spans="1:23">
      <c r="A30" s="2" t="s">
        <v>16</v>
      </c>
      <c r="N30" s="2" t="s">
        <v>17</v>
      </c>
    </row>
    <row r="31" spans="1:23">
      <c r="B31" s="3" t="s">
        <v>3</v>
      </c>
      <c r="C31" s="4" t="s">
        <v>4</v>
      </c>
      <c r="D31" s="5" t="s">
        <v>5</v>
      </c>
      <c r="E31" s="6" t="s">
        <v>6</v>
      </c>
      <c r="F31" s="7" t="s">
        <v>7</v>
      </c>
      <c r="G31" s="8" t="s">
        <v>8</v>
      </c>
      <c r="H31" s="9" t="s">
        <v>9</v>
      </c>
      <c r="I31" s="10" t="s">
        <v>10</v>
      </c>
      <c r="J31" s="11" t="s">
        <v>11</v>
      </c>
      <c r="K31" s="12" t="s">
        <v>12</v>
      </c>
      <c r="N31" s="3" t="s">
        <v>3</v>
      </c>
      <c r="O31" s="4" t="s">
        <v>4</v>
      </c>
      <c r="P31" s="5" t="s">
        <v>5</v>
      </c>
      <c r="Q31" s="6" t="s">
        <v>6</v>
      </c>
      <c r="R31" s="7" t="s">
        <v>7</v>
      </c>
      <c r="S31" s="8" t="s">
        <v>8</v>
      </c>
      <c r="T31" s="9" t="s">
        <v>9</v>
      </c>
      <c r="U31" s="10" t="s">
        <v>10</v>
      </c>
      <c r="V31" s="11" t="s">
        <v>11</v>
      </c>
      <c r="W31" s="12" t="s">
        <v>12</v>
      </c>
    </row>
    <row r="32" spans="1:23">
      <c r="A32" s="3">
        <v>1</v>
      </c>
      <c r="B32" s="14">
        <f t="shared" ref="B32:C33" si="12">_xlfn.SINGLE((N32 / B19))</f>
        <v>8.8387070878523613E-2</v>
      </c>
      <c r="C32" s="15">
        <f t="shared" si="12"/>
        <v>8.5141141912049623</v>
      </c>
      <c r="D32" s="16">
        <f t="shared" ref="D32:K33" si="13">IFERROR(_xlfn.SINGLE((P32 / D19)), "")</f>
        <v>22.302807950575239</v>
      </c>
      <c r="E32" s="17" t="str">
        <f t="shared" si="13"/>
        <v/>
      </c>
      <c r="F32" s="18" t="str">
        <f t="shared" si="13"/>
        <v/>
      </c>
      <c r="G32" s="19" t="str">
        <f t="shared" si="13"/>
        <v/>
      </c>
      <c r="H32" s="20" t="str">
        <f t="shared" si="13"/>
        <v/>
      </c>
      <c r="I32" s="21" t="str">
        <f t="shared" si="13"/>
        <v/>
      </c>
      <c r="J32" s="22" t="str">
        <f t="shared" si="13"/>
        <v/>
      </c>
      <c r="K32" s="23" t="str">
        <f t="shared" si="13"/>
        <v/>
      </c>
      <c r="M32" s="3">
        <v>1</v>
      </c>
      <c r="N32" s="14">
        <f t="shared" ref="N32:W32" si="14">POWER(N19,2)</f>
        <v>26.529438864558301</v>
      </c>
      <c r="O32" s="15">
        <f t="shared" si="14"/>
        <v>12417.263180283833</v>
      </c>
      <c r="P32" s="16">
        <f t="shared" si="14"/>
        <v>13591.700323463456</v>
      </c>
      <c r="Q32" s="17">
        <f t="shared" si="14"/>
        <v>0</v>
      </c>
      <c r="R32" s="18">
        <f t="shared" si="14"/>
        <v>0</v>
      </c>
      <c r="S32" s="19">
        <f t="shared" si="14"/>
        <v>0</v>
      </c>
      <c r="T32" s="20">
        <f t="shared" si="14"/>
        <v>0</v>
      </c>
      <c r="U32" s="21">
        <f t="shared" si="14"/>
        <v>0</v>
      </c>
      <c r="V32" s="22">
        <f t="shared" si="14"/>
        <v>0</v>
      </c>
      <c r="W32" s="23">
        <f t="shared" si="14"/>
        <v>0</v>
      </c>
    </row>
    <row r="33" spans="1:26">
      <c r="A33" s="4">
        <v>2</v>
      </c>
      <c r="B33" s="15">
        <f t="shared" si="12"/>
        <v>26.387422764198188</v>
      </c>
      <c r="C33" s="15">
        <f t="shared" si="12"/>
        <v>70.510958886266025</v>
      </c>
      <c r="D33" s="16">
        <f t="shared" si="13"/>
        <v>88.080272218148266</v>
      </c>
      <c r="E33" s="17" t="str">
        <f t="shared" si="13"/>
        <v/>
      </c>
      <c r="F33" s="18" t="str">
        <f t="shared" si="13"/>
        <v/>
      </c>
      <c r="G33" s="19" t="str">
        <f t="shared" si="13"/>
        <v/>
      </c>
      <c r="H33" s="20" t="str">
        <f t="shared" si="13"/>
        <v/>
      </c>
      <c r="I33" s="21" t="str">
        <f t="shared" si="13"/>
        <v/>
      </c>
      <c r="J33" s="22" t="str">
        <f t="shared" si="13"/>
        <v/>
      </c>
      <c r="K33" s="23" t="str">
        <f t="shared" si="13"/>
        <v/>
      </c>
      <c r="M33" s="4">
        <v>2</v>
      </c>
      <c r="N33" s="15">
        <f t="shared" ref="N33:W33" si="15">POWER(N20,2)</f>
        <v>3585.4971764323977</v>
      </c>
      <c r="O33" s="15">
        <f t="shared" si="15"/>
        <v>46553.905788950477</v>
      </c>
      <c r="P33" s="16">
        <f t="shared" si="15"/>
        <v>24299.983640778722</v>
      </c>
      <c r="Q33" s="17">
        <f t="shared" si="15"/>
        <v>0</v>
      </c>
      <c r="R33" s="18">
        <f t="shared" si="15"/>
        <v>0</v>
      </c>
      <c r="S33" s="19">
        <f t="shared" si="15"/>
        <v>0</v>
      </c>
      <c r="T33" s="20">
        <f t="shared" si="15"/>
        <v>0</v>
      </c>
      <c r="U33" s="21">
        <f t="shared" si="15"/>
        <v>0</v>
      </c>
      <c r="V33" s="22">
        <f t="shared" si="15"/>
        <v>0</v>
      </c>
      <c r="W33" s="23">
        <f t="shared" si="15"/>
        <v>0</v>
      </c>
    </row>
    <row r="34" spans="1:26">
      <c r="A34" s="5">
        <v>3</v>
      </c>
      <c r="B34" s="16">
        <f t="shared" ref="B34:K41" si="16">IFERROR(_xlfn.SINGLE((N34 / B21)), "")</f>
        <v>169.35560750783185</v>
      </c>
      <c r="C34" s="16">
        <f t="shared" si="16"/>
        <v>89.712685625544438</v>
      </c>
      <c r="D34" s="16">
        <f t="shared" si="16"/>
        <v>30.465620385819438</v>
      </c>
      <c r="E34" s="17" t="str">
        <f t="shared" si="16"/>
        <v/>
      </c>
      <c r="F34" s="18" t="str">
        <f t="shared" si="16"/>
        <v/>
      </c>
      <c r="G34" s="19" t="str">
        <f t="shared" si="16"/>
        <v/>
      </c>
      <c r="H34" s="20" t="str">
        <f t="shared" si="16"/>
        <v/>
      </c>
      <c r="I34" s="21" t="str">
        <f t="shared" si="16"/>
        <v/>
      </c>
      <c r="J34" s="22" t="str">
        <f t="shared" si="16"/>
        <v/>
      </c>
      <c r="K34" s="23" t="str">
        <f t="shared" si="16"/>
        <v/>
      </c>
      <c r="M34" s="5">
        <v>3</v>
      </c>
      <c r="N34" s="16">
        <f t="shared" ref="N34:W34" si="17">POWER(N21,2)</f>
        <v>4228.8612062245711</v>
      </c>
      <c r="O34" s="16">
        <f t="shared" si="17"/>
        <v>10884.90896696185</v>
      </c>
      <c r="P34" s="16">
        <f t="shared" si="17"/>
        <v>1544.5742849001974</v>
      </c>
      <c r="Q34" s="17">
        <f t="shared" si="17"/>
        <v>0</v>
      </c>
      <c r="R34" s="18">
        <f t="shared" si="17"/>
        <v>0</v>
      </c>
      <c r="S34" s="19">
        <f t="shared" si="17"/>
        <v>0</v>
      </c>
      <c r="T34" s="20">
        <f t="shared" si="17"/>
        <v>0</v>
      </c>
      <c r="U34" s="21">
        <f t="shared" si="17"/>
        <v>0</v>
      </c>
      <c r="V34" s="22">
        <f t="shared" si="17"/>
        <v>0</v>
      </c>
      <c r="W34" s="23">
        <f t="shared" si="17"/>
        <v>0</v>
      </c>
    </row>
    <row r="35" spans="1:26">
      <c r="A35" s="6">
        <v>4</v>
      </c>
      <c r="B35" s="17" t="str">
        <f t="shared" si="16"/>
        <v/>
      </c>
      <c r="C35" s="17" t="str">
        <f t="shared" si="16"/>
        <v/>
      </c>
      <c r="D35" s="17" t="str">
        <f t="shared" si="16"/>
        <v/>
      </c>
      <c r="E35" s="17" t="str">
        <f t="shared" si="16"/>
        <v/>
      </c>
      <c r="F35" s="18" t="str">
        <f t="shared" si="16"/>
        <v/>
      </c>
      <c r="G35" s="19" t="str">
        <f t="shared" si="16"/>
        <v/>
      </c>
      <c r="H35" s="20" t="str">
        <f t="shared" si="16"/>
        <v/>
      </c>
      <c r="I35" s="21" t="str">
        <f t="shared" si="16"/>
        <v/>
      </c>
      <c r="J35" s="22" t="str">
        <f t="shared" si="16"/>
        <v/>
      </c>
      <c r="K35" s="23" t="str">
        <f t="shared" si="16"/>
        <v/>
      </c>
      <c r="M35" s="6">
        <v>4</v>
      </c>
      <c r="N35" s="17">
        <f t="shared" ref="N35:W35" si="18">POWER(N22,2)</f>
        <v>0</v>
      </c>
      <c r="O35" s="17">
        <f t="shared" si="18"/>
        <v>0</v>
      </c>
      <c r="P35" s="17">
        <f t="shared" si="18"/>
        <v>0</v>
      </c>
      <c r="Q35" s="17">
        <f t="shared" si="18"/>
        <v>0</v>
      </c>
      <c r="R35" s="18">
        <f t="shared" si="18"/>
        <v>0</v>
      </c>
      <c r="S35" s="19">
        <f t="shared" si="18"/>
        <v>0</v>
      </c>
      <c r="T35" s="20">
        <f t="shared" si="18"/>
        <v>0</v>
      </c>
      <c r="U35" s="21">
        <f t="shared" si="18"/>
        <v>0</v>
      </c>
      <c r="V35" s="22">
        <f t="shared" si="18"/>
        <v>0</v>
      </c>
      <c r="W35" s="23">
        <f t="shared" si="18"/>
        <v>0</v>
      </c>
    </row>
    <row r="36" spans="1:26">
      <c r="A36" s="7">
        <v>5</v>
      </c>
      <c r="B36" s="18" t="str">
        <f t="shared" si="16"/>
        <v/>
      </c>
      <c r="C36" s="18" t="str">
        <f t="shared" si="16"/>
        <v/>
      </c>
      <c r="D36" s="18" t="str">
        <f t="shared" si="16"/>
        <v/>
      </c>
      <c r="E36" s="18" t="str">
        <f t="shared" si="16"/>
        <v/>
      </c>
      <c r="F36" s="18" t="str">
        <f t="shared" si="16"/>
        <v/>
      </c>
      <c r="G36" s="19" t="str">
        <f t="shared" si="16"/>
        <v/>
      </c>
      <c r="H36" s="20" t="str">
        <f t="shared" si="16"/>
        <v/>
      </c>
      <c r="I36" s="21" t="str">
        <f t="shared" si="16"/>
        <v/>
      </c>
      <c r="J36" s="22" t="str">
        <f t="shared" si="16"/>
        <v/>
      </c>
      <c r="K36" s="23" t="str">
        <f t="shared" si="16"/>
        <v/>
      </c>
      <c r="M36" s="7">
        <v>5</v>
      </c>
      <c r="N36" s="18">
        <f t="shared" ref="N36:W36" si="19">POWER(N23,2)</f>
        <v>0</v>
      </c>
      <c r="O36" s="18">
        <f t="shared" si="19"/>
        <v>0</v>
      </c>
      <c r="P36" s="18">
        <f t="shared" si="19"/>
        <v>0</v>
      </c>
      <c r="Q36" s="18">
        <f t="shared" si="19"/>
        <v>0</v>
      </c>
      <c r="R36" s="18">
        <f t="shared" si="19"/>
        <v>0</v>
      </c>
      <c r="S36" s="19">
        <f t="shared" si="19"/>
        <v>0</v>
      </c>
      <c r="T36" s="20">
        <f t="shared" si="19"/>
        <v>0</v>
      </c>
      <c r="U36" s="21">
        <f t="shared" si="19"/>
        <v>0</v>
      </c>
      <c r="V36" s="22">
        <f t="shared" si="19"/>
        <v>0</v>
      </c>
      <c r="W36" s="23">
        <f t="shared" si="19"/>
        <v>0</v>
      </c>
    </row>
    <row r="37" spans="1:26">
      <c r="A37" s="8">
        <v>6</v>
      </c>
      <c r="B37" s="19" t="str">
        <f t="shared" si="16"/>
        <v/>
      </c>
      <c r="C37" s="19" t="str">
        <f t="shared" si="16"/>
        <v/>
      </c>
      <c r="D37" s="19" t="str">
        <f t="shared" si="16"/>
        <v/>
      </c>
      <c r="E37" s="19" t="str">
        <f t="shared" si="16"/>
        <v/>
      </c>
      <c r="F37" s="19" t="str">
        <f t="shared" si="16"/>
        <v/>
      </c>
      <c r="G37" s="19" t="str">
        <f t="shared" si="16"/>
        <v/>
      </c>
      <c r="H37" s="20" t="str">
        <f t="shared" si="16"/>
        <v/>
      </c>
      <c r="I37" s="21" t="str">
        <f t="shared" si="16"/>
        <v/>
      </c>
      <c r="J37" s="22" t="str">
        <f t="shared" si="16"/>
        <v/>
      </c>
      <c r="K37" s="23" t="str">
        <f t="shared" si="16"/>
        <v/>
      </c>
      <c r="M37" s="8">
        <v>6</v>
      </c>
      <c r="N37" s="19">
        <f t="shared" ref="N37:W37" si="20">POWER(N24,2)</f>
        <v>0</v>
      </c>
      <c r="O37" s="19">
        <f t="shared" si="20"/>
        <v>0</v>
      </c>
      <c r="P37" s="19">
        <f t="shared" si="20"/>
        <v>0</v>
      </c>
      <c r="Q37" s="19">
        <f t="shared" si="20"/>
        <v>0</v>
      </c>
      <c r="R37" s="19">
        <f t="shared" si="20"/>
        <v>0</v>
      </c>
      <c r="S37" s="19">
        <f t="shared" si="20"/>
        <v>0</v>
      </c>
      <c r="T37" s="20">
        <f t="shared" si="20"/>
        <v>0</v>
      </c>
      <c r="U37" s="21">
        <f t="shared" si="20"/>
        <v>0</v>
      </c>
      <c r="V37" s="22">
        <f t="shared" si="20"/>
        <v>0</v>
      </c>
      <c r="W37" s="23">
        <f t="shared" si="20"/>
        <v>0</v>
      </c>
    </row>
    <row r="38" spans="1:26">
      <c r="A38" s="9">
        <v>7</v>
      </c>
      <c r="B38" s="20" t="str">
        <f t="shared" si="16"/>
        <v/>
      </c>
      <c r="C38" s="20" t="str">
        <f t="shared" si="16"/>
        <v/>
      </c>
      <c r="D38" s="20" t="str">
        <f t="shared" si="16"/>
        <v/>
      </c>
      <c r="E38" s="20" t="str">
        <f t="shared" si="16"/>
        <v/>
      </c>
      <c r="F38" s="20" t="str">
        <f t="shared" si="16"/>
        <v/>
      </c>
      <c r="G38" s="20" t="str">
        <f t="shared" si="16"/>
        <v/>
      </c>
      <c r="H38" s="20" t="str">
        <f t="shared" si="16"/>
        <v/>
      </c>
      <c r="I38" s="21" t="str">
        <f t="shared" si="16"/>
        <v/>
      </c>
      <c r="J38" s="22" t="str">
        <f t="shared" si="16"/>
        <v/>
      </c>
      <c r="K38" s="23" t="str">
        <f t="shared" si="16"/>
        <v/>
      </c>
      <c r="M38" s="9">
        <v>7</v>
      </c>
      <c r="N38" s="20">
        <f t="shared" ref="N38:W38" si="21">POWER(N25,2)</f>
        <v>0</v>
      </c>
      <c r="O38" s="20">
        <f t="shared" si="21"/>
        <v>0</v>
      </c>
      <c r="P38" s="20">
        <f t="shared" si="21"/>
        <v>0</v>
      </c>
      <c r="Q38" s="20">
        <f t="shared" si="21"/>
        <v>0</v>
      </c>
      <c r="R38" s="20">
        <f t="shared" si="21"/>
        <v>0</v>
      </c>
      <c r="S38" s="20">
        <f t="shared" si="21"/>
        <v>0</v>
      </c>
      <c r="T38" s="20">
        <f t="shared" si="21"/>
        <v>0</v>
      </c>
      <c r="U38" s="21">
        <f t="shared" si="21"/>
        <v>0</v>
      </c>
      <c r="V38" s="22">
        <f t="shared" si="21"/>
        <v>0</v>
      </c>
      <c r="W38" s="23">
        <f t="shared" si="21"/>
        <v>0</v>
      </c>
    </row>
    <row r="39" spans="1:26">
      <c r="A39" s="10">
        <v>8</v>
      </c>
      <c r="B39" s="21" t="str">
        <f t="shared" si="16"/>
        <v/>
      </c>
      <c r="C39" s="21" t="str">
        <f t="shared" si="16"/>
        <v/>
      </c>
      <c r="D39" s="21" t="str">
        <f t="shared" si="16"/>
        <v/>
      </c>
      <c r="E39" s="21" t="str">
        <f t="shared" si="16"/>
        <v/>
      </c>
      <c r="F39" s="21" t="str">
        <f t="shared" si="16"/>
        <v/>
      </c>
      <c r="G39" s="21" t="str">
        <f t="shared" si="16"/>
        <v/>
      </c>
      <c r="H39" s="21" t="str">
        <f t="shared" si="16"/>
        <v/>
      </c>
      <c r="I39" s="21" t="str">
        <f t="shared" si="16"/>
        <v/>
      </c>
      <c r="J39" s="22" t="str">
        <f t="shared" si="16"/>
        <v/>
      </c>
      <c r="K39" s="23" t="str">
        <f t="shared" si="16"/>
        <v/>
      </c>
      <c r="M39" s="10">
        <v>8</v>
      </c>
      <c r="N39" s="21">
        <f t="shared" ref="N39:W39" si="22">POWER(N26,2)</f>
        <v>0</v>
      </c>
      <c r="O39" s="21">
        <f t="shared" si="22"/>
        <v>0</v>
      </c>
      <c r="P39" s="21">
        <f t="shared" si="22"/>
        <v>0</v>
      </c>
      <c r="Q39" s="21">
        <f t="shared" si="22"/>
        <v>0</v>
      </c>
      <c r="R39" s="21">
        <f t="shared" si="22"/>
        <v>0</v>
      </c>
      <c r="S39" s="21">
        <f t="shared" si="22"/>
        <v>0</v>
      </c>
      <c r="T39" s="21">
        <f t="shared" si="22"/>
        <v>0</v>
      </c>
      <c r="U39" s="21">
        <f t="shared" si="22"/>
        <v>0</v>
      </c>
      <c r="V39" s="22">
        <f t="shared" si="22"/>
        <v>0</v>
      </c>
      <c r="W39" s="23">
        <f t="shared" si="22"/>
        <v>0</v>
      </c>
    </row>
    <row r="40" spans="1:26">
      <c r="A40" s="11">
        <v>9</v>
      </c>
      <c r="B40" s="22" t="str">
        <f t="shared" si="16"/>
        <v/>
      </c>
      <c r="C40" s="22" t="str">
        <f t="shared" si="16"/>
        <v/>
      </c>
      <c r="D40" s="22" t="str">
        <f t="shared" si="16"/>
        <v/>
      </c>
      <c r="E40" s="22" t="str">
        <f t="shared" si="16"/>
        <v/>
      </c>
      <c r="F40" s="22" t="str">
        <f t="shared" si="16"/>
        <v/>
      </c>
      <c r="G40" s="22" t="str">
        <f t="shared" si="16"/>
        <v/>
      </c>
      <c r="H40" s="22" t="str">
        <f t="shared" si="16"/>
        <v/>
      </c>
      <c r="I40" s="22" t="str">
        <f t="shared" si="16"/>
        <v/>
      </c>
      <c r="J40" s="22" t="str">
        <f t="shared" si="16"/>
        <v/>
      </c>
      <c r="K40" s="23" t="str">
        <f t="shared" si="16"/>
        <v/>
      </c>
      <c r="M40" s="11">
        <v>9</v>
      </c>
      <c r="N40" s="22">
        <f t="shared" ref="N40:W40" si="23">POWER(N27,2)</f>
        <v>0</v>
      </c>
      <c r="O40" s="22">
        <f t="shared" si="23"/>
        <v>0</v>
      </c>
      <c r="P40" s="22">
        <f t="shared" si="23"/>
        <v>0</v>
      </c>
      <c r="Q40" s="22">
        <f t="shared" si="23"/>
        <v>0</v>
      </c>
      <c r="R40" s="22">
        <f t="shared" si="23"/>
        <v>0</v>
      </c>
      <c r="S40" s="22">
        <f t="shared" si="23"/>
        <v>0</v>
      </c>
      <c r="T40" s="22">
        <f t="shared" si="23"/>
        <v>0</v>
      </c>
      <c r="U40" s="22">
        <f t="shared" si="23"/>
        <v>0</v>
      </c>
      <c r="V40" s="22">
        <f t="shared" si="23"/>
        <v>0</v>
      </c>
      <c r="W40" s="23">
        <f t="shared" si="23"/>
        <v>0</v>
      </c>
    </row>
    <row r="41" spans="1:26">
      <c r="A41" s="12">
        <v>10</v>
      </c>
      <c r="B41" s="23" t="str">
        <f t="shared" si="16"/>
        <v/>
      </c>
      <c r="C41" s="23" t="str">
        <f t="shared" si="16"/>
        <v/>
      </c>
      <c r="D41" s="23" t="str">
        <f t="shared" si="16"/>
        <v/>
      </c>
      <c r="E41" s="23" t="str">
        <f t="shared" si="16"/>
        <v/>
      </c>
      <c r="F41" s="23" t="str">
        <f t="shared" si="16"/>
        <v/>
      </c>
      <c r="G41" s="23" t="str">
        <f t="shared" si="16"/>
        <v/>
      </c>
      <c r="H41" s="23" t="str">
        <f t="shared" si="16"/>
        <v/>
      </c>
      <c r="I41" s="23" t="str">
        <f t="shared" si="16"/>
        <v/>
      </c>
      <c r="J41" s="23" t="str">
        <f t="shared" si="16"/>
        <v/>
      </c>
      <c r="K41" s="23" t="str">
        <f t="shared" si="16"/>
        <v/>
      </c>
      <c r="M41" s="12">
        <v>10</v>
      </c>
      <c r="N41" s="23">
        <f t="shared" ref="N41:W41" si="24">POWER(N28,2)</f>
        <v>0</v>
      </c>
      <c r="O41" s="23">
        <f t="shared" si="24"/>
        <v>0</v>
      </c>
      <c r="P41" s="23">
        <f t="shared" si="24"/>
        <v>0</v>
      </c>
      <c r="Q41" s="23">
        <f t="shared" si="24"/>
        <v>0</v>
      </c>
      <c r="R41" s="23">
        <f t="shared" si="24"/>
        <v>0</v>
      </c>
      <c r="S41" s="23">
        <f t="shared" si="24"/>
        <v>0</v>
      </c>
      <c r="T41" s="23">
        <f t="shared" si="24"/>
        <v>0</v>
      </c>
      <c r="U41" s="23">
        <f t="shared" si="24"/>
        <v>0</v>
      </c>
      <c r="V41" s="23">
        <f t="shared" si="24"/>
        <v>0</v>
      </c>
      <c r="W41" s="23">
        <f t="shared" si="24"/>
        <v>0</v>
      </c>
    </row>
    <row r="43" spans="1:26">
      <c r="A43" s="2" t="s">
        <v>18</v>
      </c>
    </row>
    <row r="44" spans="1:26">
      <c r="A44" s="37" t="s">
        <v>19</v>
      </c>
      <c r="B44" s="37">
        <f>MAX(C47:K55)</f>
        <v>505.41787660046691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>
      <c r="B45" s="3" t="s">
        <v>3</v>
      </c>
      <c r="C45" s="4" t="s">
        <v>4</v>
      </c>
      <c r="D45" s="5" t="s">
        <v>5</v>
      </c>
      <c r="E45" s="6" t="s">
        <v>6</v>
      </c>
      <c r="F45" s="7" t="s">
        <v>7</v>
      </c>
      <c r="G45" s="8" t="s">
        <v>8</v>
      </c>
      <c r="H45" s="9" t="s">
        <v>9</v>
      </c>
      <c r="I45" s="10" t="s">
        <v>10</v>
      </c>
      <c r="J45" s="11" t="s">
        <v>11</v>
      </c>
      <c r="K45" s="12" t="s">
        <v>12</v>
      </c>
    </row>
    <row r="46" spans="1:26">
      <c r="A46" s="3">
        <v>1</v>
      </c>
      <c r="B46" s="14" t="s">
        <v>20</v>
      </c>
      <c r="C46" s="15" t="s">
        <v>20</v>
      </c>
      <c r="D46" s="16" t="s">
        <v>20</v>
      </c>
      <c r="E46" s="17" t="s">
        <v>20</v>
      </c>
      <c r="F46" s="18" t="s">
        <v>20</v>
      </c>
      <c r="G46" s="19" t="s">
        <v>20</v>
      </c>
      <c r="H46" s="20" t="s">
        <v>20</v>
      </c>
      <c r="I46" s="21" t="s">
        <v>20</v>
      </c>
      <c r="J46" s="22" t="s">
        <v>20</v>
      </c>
      <c r="K46" s="23" t="s">
        <v>20</v>
      </c>
    </row>
    <row r="47" spans="1:26">
      <c r="A47" s="4">
        <v>2</v>
      </c>
      <c r="B47" s="15" t="s">
        <v>20</v>
      </c>
      <c r="C47" s="15">
        <f>SUM(B32,C32,B33,C33)</f>
        <v>105.5008829125477</v>
      </c>
      <c r="D47" s="38">
        <f>SUM(B32:D33)</f>
        <v>215.88396308127119</v>
      </c>
      <c r="E47" s="17">
        <f>SUM(B32:E33)</f>
        <v>215.88396308127119</v>
      </c>
      <c r="F47" s="18">
        <f>SUM(B32:F33)</f>
        <v>215.88396308127119</v>
      </c>
      <c r="G47" s="19">
        <f>SUM(B32:G33)</f>
        <v>215.88396308127119</v>
      </c>
      <c r="H47" s="20">
        <f>SUM(B32:H33)</f>
        <v>215.88396308127119</v>
      </c>
      <c r="I47" s="21">
        <f>SUM(B32:I33)</f>
        <v>215.88396308127119</v>
      </c>
      <c r="J47" s="22">
        <f>SUM(B32:J33)</f>
        <v>215.88396308127119</v>
      </c>
      <c r="K47" s="23">
        <f>SUM(B32:K33)</f>
        <v>215.88396308127119</v>
      </c>
    </row>
    <row r="48" spans="1:26">
      <c r="A48" s="5">
        <v>3</v>
      </c>
      <c r="B48" s="16" t="s">
        <v>20</v>
      </c>
      <c r="C48" s="16">
        <f>SUM(B32,B33,B34,C32,C33,C34)</f>
        <v>364.569176045924</v>
      </c>
      <c r="D48" s="16">
        <f>SUM(B32:D34)</f>
        <v>505.41787660046691</v>
      </c>
      <c r="E48" s="17">
        <f>SUM(B32:E34)</f>
        <v>505.41787660046691</v>
      </c>
      <c r="F48" s="18">
        <f>SUM(B32:F34)</f>
        <v>505.41787660046691</v>
      </c>
      <c r="G48" s="19">
        <f>SUM(B32:G34)</f>
        <v>505.41787660046691</v>
      </c>
      <c r="H48" s="20">
        <f>SUM(B32:H34)</f>
        <v>505.41787660046691</v>
      </c>
      <c r="I48" s="21">
        <f>SUM(B32:I34)</f>
        <v>505.41787660046691</v>
      </c>
      <c r="J48" s="22">
        <f>SUM(B32:J34)</f>
        <v>505.41787660046691</v>
      </c>
      <c r="K48" s="23">
        <f>SUM(B32:K34)</f>
        <v>505.41787660046691</v>
      </c>
    </row>
    <row r="49" spans="1:11">
      <c r="A49" s="6">
        <v>4</v>
      </c>
      <c r="B49" s="17" t="s">
        <v>20</v>
      </c>
      <c r="C49" s="17">
        <f>SUM(B32,B33,B34,B35,C32,C33,C34,C35)</f>
        <v>364.569176045924</v>
      </c>
      <c r="D49" s="17">
        <f>SUM(B32:D35)</f>
        <v>505.41787660046691</v>
      </c>
      <c r="E49" s="17">
        <f>SUM(B32:E35)</f>
        <v>505.41787660046691</v>
      </c>
      <c r="F49" s="18">
        <f>SUM(B32:F35)</f>
        <v>505.41787660046691</v>
      </c>
      <c r="G49" s="19">
        <f>SUM(B32:G35)</f>
        <v>505.41787660046691</v>
      </c>
      <c r="H49" s="20">
        <f>SUM(B32:H35)</f>
        <v>505.41787660046691</v>
      </c>
      <c r="I49" s="21">
        <f>SUM(B32:I35)</f>
        <v>505.41787660046691</v>
      </c>
      <c r="J49" s="22">
        <f>SUM(B32:J35)</f>
        <v>505.41787660046691</v>
      </c>
      <c r="K49" s="23">
        <f>SUM(B32:K35)</f>
        <v>505.41787660046691</v>
      </c>
    </row>
    <row r="50" spans="1:11">
      <c r="A50" s="7">
        <v>5</v>
      </c>
      <c r="B50" s="18" t="s">
        <v>20</v>
      </c>
      <c r="C50" s="18">
        <f>SUM(B32,B33,B34,B35,B36,C32,C33,C34,C35,C36)</f>
        <v>364.569176045924</v>
      </c>
      <c r="D50" s="18">
        <f>SUM(B32:D36)</f>
        <v>505.41787660046691</v>
      </c>
      <c r="E50" s="18">
        <f>SUM(B32:E36)</f>
        <v>505.41787660046691</v>
      </c>
      <c r="F50" s="18">
        <f>SUM(B32:F36)</f>
        <v>505.41787660046691</v>
      </c>
      <c r="G50" s="19">
        <f>SUM(B32:G36)</f>
        <v>505.41787660046691</v>
      </c>
      <c r="H50" s="20">
        <f>SUM(B32:H36)</f>
        <v>505.41787660046691</v>
      </c>
      <c r="I50" s="21">
        <f>SUM(B32:I36)</f>
        <v>505.41787660046691</v>
      </c>
      <c r="J50" s="22">
        <f>SUM(B32:J36)</f>
        <v>505.41787660046691</v>
      </c>
      <c r="K50" s="23">
        <f>SUM(B32:K36)</f>
        <v>505.41787660046691</v>
      </c>
    </row>
    <row r="51" spans="1:11">
      <c r="A51" s="8">
        <v>6</v>
      </c>
      <c r="B51" s="19" t="s">
        <v>20</v>
      </c>
      <c r="C51" s="19">
        <f>SUM(B32,B33,B34,B35,B36,B37,C32,C33,C34,C35,C35,C36,C37)</f>
        <v>364.569176045924</v>
      </c>
      <c r="D51" s="19">
        <f>SUM(B32:D37)</f>
        <v>505.41787660046691</v>
      </c>
      <c r="E51" s="19">
        <f>SUM(B32:E37)</f>
        <v>505.41787660046691</v>
      </c>
      <c r="F51" s="19">
        <f>SUM(B32:F37)</f>
        <v>505.41787660046691</v>
      </c>
      <c r="G51" s="19">
        <f>SUM(B32:G37)</f>
        <v>505.41787660046691</v>
      </c>
      <c r="H51" s="20">
        <f>SUM(B32:H37)</f>
        <v>505.41787660046691</v>
      </c>
      <c r="I51" s="21">
        <f>SUM(B32:I37)</f>
        <v>505.41787660046691</v>
      </c>
      <c r="J51" s="22">
        <f>SUM(B32:J37)</f>
        <v>505.41787660046691</v>
      </c>
      <c r="K51" s="23">
        <f>SUM(B32:K37)</f>
        <v>505.41787660046691</v>
      </c>
    </row>
    <row r="52" spans="1:11">
      <c r="A52" s="9">
        <v>7</v>
      </c>
      <c r="B52" s="20" t="s">
        <v>20</v>
      </c>
      <c r="C52" s="20">
        <f>SUM(B32,B32,B33,B34,B35,B36,B37,B38,C32,C33,C34,C35,C36,C37,C38)</f>
        <v>364.65756311680252</v>
      </c>
      <c r="D52" s="20">
        <f>SUM(B32:D38)</f>
        <v>505.41787660046691</v>
      </c>
      <c r="E52" s="20">
        <f>SUM(B32:E38)</f>
        <v>505.41787660046691</v>
      </c>
      <c r="F52" s="20">
        <f>SUM(B32:F38)</f>
        <v>505.41787660046691</v>
      </c>
      <c r="G52" s="20">
        <f>SUM(B32:G38)</f>
        <v>505.41787660046691</v>
      </c>
      <c r="H52" s="20">
        <f>SUM(B32:H38)</f>
        <v>505.41787660046691</v>
      </c>
      <c r="I52" s="21">
        <f>SUM(B32:I38)</f>
        <v>505.41787660046691</v>
      </c>
      <c r="J52" s="22">
        <f>SUM(B32:J38)</f>
        <v>505.41787660046691</v>
      </c>
      <c r="K52" s="23">
        <f>SUM(B32:K38)</f>
        <v>505.41787660046691</v>
      </c>
    </row>
    <row r="53" spans="1:11">
      <c r="A53" s="10">
        <v>8</v>
      </c>
      <c r="B53" s="21" t="s">
        <v>20</v>
      </c>
      <c r="C53" s="21">
        <f>SUM(B32,B33,B34,B35,B36,B37,B38,B39,C32,C33,C34,C35,C36,C37,C38,C39)</f>
        <v>364.569176045924</v>
      </c>
      <c r="D53" s="21">
        <f>SUM(B32:D39)</f>
        <v>505.41787660046691</v>
      </c>
      <c r="E53" s="21">
        <f>SUM(B32:E39)</f>
        <v>505.41787660046691</v>
      </c>
      <c r="F53" s="21">
        <f>SUM(B32:F39)</f>
        <v>505.41787660046691</v>
      </c>
      <c r="G53" s="21">
        <f>SUM(B32:G39)</f>
        <v>505.41787660046691</v>
      </c>
      <c r="H53" s="21">
        <f>SUM(B32:H39)</f>
        <v>505.41787660046691</v>
      </c>
      <c r="I53" s="21">
        <f>SUM(B32:I39)</f>
        <v>505.41787660046691</v>
      </c>
      <c r="J53" s="22">
        <f>SUM(B32:J39)</f>
        <v>505.41787660046691</v>
      </c>
      <c r="K53" s="23">
        <f>SUM(B32:K39)</f>
        <v>505.41787660046691</v>
      </c>
    </row>
    <row r="54" spans="1:11">
      <c r="A54" s="11">
        <v>9</v>
      </c>
      <c r="B54" s="22" t="s">
        <v>20</v>
      </c>
      <c r="C54" s="22">
        <f>SUM(B32,B33,B34,B35,B36,B37,B38,B39,B40,C32,C33,C34,C35,C36,C37,C38,C39,C40)</f>
        <v>364.569176045924</v>
      </c>
      <c r="D54" s="22">
        <f>SUM(B32:D40)</f>
        <v>505.41787660046691</v>
      </c>
      <c r="E54" s="22">
        <f>SUM(B32:E40)</f>
        <v>505.41787660046691</v>
      </c>
      <c r="F54" s="22">
        <f>SUM(B32:F40)</f>
        <v>505.41787660046691</v>
      </c>
      <c r="G54" s="22">
        <f>SUM(B32:G40)</f>
        <v>505.41787660046691</v>
      </c>
      <c r="H54" s="22">
        <f>SUM(B32:H40)</f>
        <v>505.41787660046691</v>
      </c>
      <c r="I54" s="22">
        <f>SUM(B32:I40)</f>
        <v>505.41787660046691</v>
      </c>
      <c r="J54" s="22">
        <f>SUM(B32:J40)</f>
        <v>505.41787660046691</v>
      </c>
      <c r="K54" s="23">
        <f>SUM(B32:K40)</f>
        <v>505.41787660046691</v>
      </c>
    </row>
    <row r="55" spans="1:11">
      <c r="A55" s="12">
        <v>10</v>
      </c>
      <c r="B55" s="23" t="s">
        <v>20</v>
      </c>
      <c r="C55" s="23">
        <f>SUM(B32,B33,B34,B35,B36,B37,B38,B39,B40,B41,C32,C33,C34,C35,C36,C37,C38,C39,C40,C41)</f>
        <v>364.569176045924</v>
      </c>
      <c r="D55" s="23">
        <f>SUM(B32:D41)</f>
        <v>505.41787660046691</v>
      </c>
      <c r="E55" s="23">
        <f>SUM(B32:E41)</f>
        <v>505.41787660046691</v>
      </c>
      <c r="F55" s="23">
        <f>SUM(B32:F41)</f>
        <v>505.41787660046691</v>
      </c>
      <c r="G55" s="23">
        <f>SUM(B32:G41)</f>
        <v>505.41787660046691</v>
      </c>
      <c r="H55" s="23">
        <f>SUM(B32:H41)</f>
        <v>505.41787660046691</v>
      </c>
      <c r="I55" s="23">
        <f>SUM(B32:I41)</f>
        <v>505.41787660046691</v>
      </c>
      <c r="J55" s="23">
        <f>SUM(B32:J41)</f>
        <v>505.41787660046691</v>
      </c>
      <c r="K55" s="23">
        <f>SUM(B32:K41)</f>
        <v>505.41787660046691</v>
      </c>
    </row>
    <row r="57" spans="1:11">
      <c r="A57" s="2" t="s">
        <v>21</v>
      </c>
    </row>
    <row r="58" spans="1:11">
      <c r="B58" s="3" t="s">
        <v>3</v>
      </c>
      <c r="C58" s="4" t="s">
        <v>4</v>
      </c>
      <c r="D58" s="5" t="s">
        <v>5</v>
      </c>
      <c r="E58" s="6" t="s">
        <v>6</v>
      </c>
      <c r="F58" s="7" t="s">
        <v>7</v>
      </c>
      <c r="G58" s="8" t="s">
        <v>8</v>
      </c>
      <c r="H58" s="9" t="s">
        <v>9</v>
      </c>
      <c r="I58" s="10" t="s">
        <v>10</v>
      </c>
      <c r="J58" s="11" t="s">
        <v>11</v>
      </c>
      <c r="K58" s="12" t="s">
        <v>12</v>
      </c>
    </row>
    <row r="59" spans="1:11">
      <c r="A59" s="3">
        <v>1</v>
      </c>
      <c r="B59" s="14" t="s">
        <v>20</v>
      </c>
      <c r="C59" s="15" t="s">
        <v>20</v>
      </c>
      <c r="D59" s="16" t="s">
        <v>20</v>
      </c>
      <c r="E59" s="17" t="s">
        <v>20</v>
      </c>
      <c r="F59" s="18" t="s">
        <v>20</v>
      </c>
      <c r="G59" s="19" t="s">
        <v>20</v>
      </c>
      <c r="H59" s="20" t="s">
        <v>20</v>
      </c>
      <c r="I59" s="21" t="s">
        <v>20</v>
      </c>
      <c r="J59" s="22" t="s">
        <v>20</v>
      </c>
      <c r="K59" s="23" t="s">
        <v>20</v>
      </c>
    </row>
    <row r="60" spans="1:11">
      <c r="A60" s="4">
        <v>2</v>
      </c>
      <c r="B60" s="15" t="s">
        <v>20</v>
      </c>
      <c r="C60" s="15">
        <v>1</v>
      </c>
      <c r="D60" s="16">
        <v>2</v>
      </c>
      <c r="E60" s="17">
        <v>3</v>
      </c>
      <c r="F60" s="18">
        <v>4</v>
      </c>
      <c r="G60" s="19">
        <v>5</v>
      </c>
      <c r="H60" s="20">
        <v>6</v>
      </c>
      <c r="I60" s="21">
        <v>7</v>
      </c>
      <c r="J60" s="22">
        <v>8</v>
      </c>
      <c r="K60" s="23">
        <v>9</v>
      </c>
    </row>
    <row r="61" spans="1:11">
      <c r="A61" s="5">
        <v>3</v>
      </c>
      <c r="B61" s="16" t="s">
        <v>20</v>
      </c>
      <c r="C61" s="16">
        <v>2</v>
      </c>
      <c r="D61" s="16">
        <v>4</v>
      </c>
      <c r="E61" s="17">
        <v>6</v>
      </c>
      <c r="F61" s="18">
        <v>8</v>
      </c>
      <c r="G61" s="19">
        <v>10</v>
      </c>
      <c r="H61" s="20">
        <v>12</v>
      </c>
      <c r="I61" s="21">
        <v>14</v>
      </c>
      <c r="J61" s="22">
        <v>16</v>
      </c>
      <c r="K61" s="23">
        <v>18</v>
      </c>
    </row>
    <row r="62" spans="1:11">
      <c r="A62" s="6">
        <v>4</v>
      </c>
      <c r="B62" s="17" t="s">
        <v>20</v>
      </c>
      <c r="C62" s="17">
        <v>3</v>
      </c>
      <c r="D62" s="17">
        <v>6</v>
      </c>
      <c r="E62" s="17">
        <v>9</v>
      </c>
      <c r="F62" s="18">
        <v>12</v>
      </c>
      <c r="G62" s="19">
        <v>15</v>
      </c>
      <c r="H62" s="20">
        <v>18</v>
      </c>
      <c r="I62" s="21">
        <v>21</v>
      </c>
      <c r="J62" s="22">
        <v>24</v>
      </c>
      <c r="K62" s="23">
        <v>27</v>
      </c>
    </row>
    <row r="63" spans="1:11">
      <c r="A63" s="7">
        <v>5</v>
      </c>
      <c r="B63" s="18" t="s">
        <v>20</v>
      </c>
      <c r="C63" s="18">
        <v>4</v>
      </c>
      <c r="D63" s="18">
        <v>8</v>
      </c>
      <c r="E63" s="18">
        <v>12</v>
      </c>
      <c r="F63" s="18">
        <v>16</v>
      </c>
      <c r="G63" s="19">
        <v>20</v>
      </c>
      <c r="H63" s="20">
        <v>24</v>
      </c>
      <c r="I63" s="21">
        <v>28</v>
      </c>
      <c r="J63" s="22">
        <v>32</v>
      </c>
      <c r="K63" s="23">
        <v>36</v>
      </c>
    </row>
    <row r="64" spans="1:11">
      <c r="A64" s="8">
        <v>6</v>
      </c>
      <c r="B64" s="19" t="s">
        <v>20</v>
      </c>
      <c r="C64" s="19">
        <v>5</v>
      </c>
      <c r="D64" s="19">
        <v>10</v>
      </c>
      <c r="E64" s="19">
        <v>15</v>
      </c>
      <c r="F64" s="19">
        <v>20</v>
      </c>
      <c r="G64" s="19">
        <v>25</v>
      </c>
      <c r="H64" s="20">
        <v>30</v>
      </c>
      <c r="I64" s="21">
        <v>35</v>
      </c>
      <c r="J64" s="22">
        <v>40</v>
      </c>
      <c r="K64" s="23">
        <v>45</v>
      </c>
    </row>
    <row r="65" spans="1:11">
      <c r="A65" s="9">
        <v>7</v>
      </c>
      <c r="B65" s="20" t="s">
        <v>20</v>
      </c>
      <c r="C65" s="20">
        <v>6</v>
      </c>
      <c r="D65" s="20">
        <v>12</v>
      </c>
      <c r="E65" s="20">
        <v>18</v>
      </c>
      <c r="F65" s="20">
        <v>24</v>
      </c>
      <c r="G65" s="20">
        <v>30</v>
      </c>
      <c r="H65" s="20">
        <v>36</v>
      </c>
      <c r="I65" s="21">
        <v>42</v>
      </c>
      <c r="J65" s="22">
        <v>48</v>
      </c>
      <c r="K65" s="23">
        <v>54</v>
      </c>
    </row>
    <row r="66" spans="1:11">
      <c r="A66" s="10">
        <v>8</v>
      </c>
      <c r="B66" s="21" t="s">
        <v>20</v>
      </c>
      <c r="C66" s="21">
        <v>7</v>
      </c>
      <c r="D66" s="21">
        <v>14</v>
      </c>
      <c r="E66" s="21">
        <v>21</v>
      </c>
      <c r="F66" s="21">
        <v>28</v>
      </c>
      <c r="G66" s="21">
        <v>35</v>
      </c>
      <c r="H66" s="21">
        <v>42</v>
      </c>
      <c r="I66" s="21">
        <v>49</v>
      </c>
      <c r="J66" s="22">
        <v>56</v>
      </c>
      <c r="K66" s="23">
        <v>63</v>
      </c>
    </row>
    <row r="67" spans="1:11">
      <c r="A67" s="11">
        <v>9</v>
      </c>
      <c r="B67" s="22" t="s">
        <v>20</v>
      </c>
      <c r="C67" s="22">
        <v>8</v>
      </c>
      <c r="D67" s="22">
        <v>16</v>
      </c>
      <c r="E67" s="22">
        <v>24</v>
      </c>
      <c r="F67" s="22">
        <v>32</v>
      </c>
      <c r="G67" s="22">
        <v>40</v>
      </c>
      <c r="H67" s="22">
        <v>48</v>
      </c>
      <c r="I67" s="22">
        <v>56</v>
      </c>
      <c r="J67" s="22">
        <v>64</v>
      </c>
      <c r="K67" s="23">
        <v>72</v>
      </c>
    </row>
    <row r="68" spans="1:11">
      <c r="A68" s="12">
        <v>10</v>
      </c>
      <c r="B68" s="23" t="s">
        <v>20</v>
      </c>
      <c r="C68" s="23">
        <v>9</v>
      </c>
      <c r="D68" s="23">
        <v>18</v>
      </c>
      <c r="E68" s="23">
        <v>27</v>
      </c>
      <c r="F68" s="23">
        <v>36</v>
      </c>
      <c r="G68" s="23">
        <v>45</v>
      </c>
      <c r="H68" s="23">
        <v>54</v>
      </c>
      <c r="I68" s="23">
        <v>63</v>
      </c>
      <c r="J68" s="23">
        <v>72</v>
      </c>
      <c r="K68" s="23">
        <v>81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3"/>
  <sheetViews>
    <sheetView workbookViewId="0"/>
  </sheetViews>
  <sheetFormatPr defaultColWidth="12.5703125" defaultRowHeight="15.75" customHeight="1"/>
  <sheetData>
    <row r="1" spans="1:16">
      <c r="A1" s="1" t="s">
        <v>22</v>
      </c>
    </row>
    <row r="2" spans="1:16">
      <c r="A2" s="39" t="s">
        <v>23</v>
      </c>
    </row>
    <row r="3" spans="1:16">
      <c r="A3" s="2" t="s">
        <v>24</v>
      </c>
    </row>
    <row r="4" spans="1:16">
      <c r="B4" s="3">
        <v>1</v>
      </c>
      <c r="C4" s="4">
        <v>2</v>
      </c>
      <c r="D4" s="5">
        <v>3</v>
      </c>
      <c r="E4" s="6">
        <v>4</v>
      </c>
      <c r="F4" s="7">
        <v>5</v>
      </c>
      <c r="G4" s="8">
        <v>6</v>
      </c>
      <c r="H4" s="9">
        <v>7</v>
      </c>
      <c r="I4" s="10">
        <v>8</v>
      </c>
      <c r="J4" s="11">
        <v>9</v>
      </c>
      <c r="K4" s="12">
        <v>10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6">
      <c r="A5" s="3" t="s">
        <v>3</v>
      </c>
      <c r="B5" s="14">
        <v>18</v>
      </c>
      <c r="C5" s="14">
        <v>29</v>
      </c>
      <c r="D5" s="14">
        <v>42</v>
      </c>
      <c r="E5" s="14">
        <v>42</v>
      </c>
      <c r="F5" s="14">
        <v>31</v>
      </c>
      <c r="G5" s="14">
        <v>21</v>
      </c>
      <c r="H5" s="14">
        <v>38</v>
      </c>
      <c r="I5" s="14">
        <v>25</v>
      </c>
      <c r="J5" s="14"/>
      <c r="K5" s="14"/>
      <c r="L5" s="3">
        <f t="shared" ref="L5:L7" si="0">AVERAGE(B5:K5)</f>
        <v>30.75</v>
      </c>
      <c r="M5" s="3">
        <f t="shared" ref="M5:M7" si="1">STDEV(B5:K5)</f>
        <v>9.2543426099781474</v>
      </c>
      <c r="N5" s="3">
        <f t="shared" ref="N5:N14" si="2">COUNT(B5:K5)</f>
        <v>8</v>
      </c>
      <c r="O5" s="3">
        <f>POWER(N5,-1)</f>
        <v>0.125</v>
      </c>
      <c r="P5" s="40"/>
    </row>
    <row r="6" spans="1:16">
      <c r="A6" s="4" t="s">
        <v>4</v>
      </c>
      <c r="B6" s="15">
        <v>43</v>
      </c>
      <c r="C6" s="15">
        <v>59</v>
      </c>
      <c r="D6" s="15">
        <v>22</v>
      </c>
      <c r="E6" s="15">
        <v>25</v>
      </c>
      <c r="F6" s="15">
        <v>36</v>
      </c>
      <c r="G6" s="15">
        <v>47</v>
      </c>
      <c r="H6" s="15">
        <v>19</v>
      </c>
      <c r="I6" s="15">
        <v>21</v>
      </c>
      <c r="J6" s="15"/>
      <c r="K6" s="15"/>
      <c r="L6" s="4">
        <f t="shared" si="0"/>
        <v>34</v>
      </c>
      <c r="M6" s="4">
        <f t="shared" si="1"/>
        <v>14.628738838327793</v>
      </c>
      <c r="N6" s="4">
        <f t="shared" si="2"/>
        <v>8</v>
      </c>
      <c r="O6" s="4">
        <f t="shared" ref="O6:O8" si="3">POWER(N6,-1)</f>
        <v>0.125</v>
      </c>
      <c r="P6" s="36"/>
    </row>
    <row r="7" spans="1:16">
      <c r="A7" s="5" t="s">
        <v>5</v>
      </c>
      <c r="B7" s="16">
        <v>44</v>
      </c>
      <c r="C7" s="16">
        <v>34</v>
      </c>
      <c r="D7" s="16">
        <v>36</v>
      </c>
      <c r="E7" s="16">
        <v>49</v>
      </c>
      <c r="F7" s="16">
        <v>54</v>
      </c>
      <c r="G7" s="16">
        <v>65</v>
      </c>
      <c r="H7" s="16">
        <v>59</v>
      </c>
      <c r="I7" s="16">
        <v>53</v>
      </c>
      <c r="J7" s="16"/>
      <c r="K7" s="16"/>
      <c r="L7" s="5">
        <f t="shared" si="0"/>
        <v>49.25</v>
      </c>
      <c r="M7" s="5">
        <f t="shared" si="1"/>
        <v>10.793516572461451</v>
      </c>
      <c r="N7" s="5">
        <f t="shared" si="2"/>
        <v>8</v>
      </c>
      <c r="O7" s="5">
        <f t="shared" si="3"/>
        <v>0.125</v>
      </c>
      <c r="P7" s="36"/>
    </row>
    <row r="8" spans="1:16">
      <c r="A8" s="6" t="s">
        <v>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6" t="str">
        <f t="shared" ref="L8:L14" si="4">IFERROR(AVERAGE(B8:K8),"")</f>
        <v/>
      </c>
      <c r="M8" s="6" t="str">
        <f t="shared" ref="M8:M14" si="5">IFERROR(STDEV(B8:K8),"")</f>
        <v/>
      </c>
      <c r="N8" s="6">
        <f t="shared" si="2"/>
        <v>0</v>
      </c>
      <c r="O8" s="6" t="e">
        <f t="shared" si="3"/>
        <v>#DIV/0!</v>
      </c>
      <c r="P8" s="36"/>
    </row>
    <row r="9" spans="1:16">
      <c r="A9" s="7" t="s">
        <v>7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7" t="str">
        <f t="shared" si="4"/>
        <v/>
      </c>
      <c r="M9" s="7" t="str">
        <f t="shared" si="5"/>
        <v/>
      </c>
      <c r="N9" s="7">
        <f t="shared" si="2"/>
        <v>0</v>
      </c>
      <c r="O9" s="7" t="e">
        <f t="shared" ref="O9:O14" si="6">POWER(N9,-1)</f>
        <v>#DIV/0!</v>
      </c>
      <c r="P9" s="36"/>
    </row>
    <row r="10" spans="1:16">
      <c r="A10" s="8" t="s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8" t="str">
        <f t="shared" si="4"/>
        <v/>
      </c>
      <c r="M10" s="8" t="str">
        <f t="shared" si="5"/>
        <v/>
      </c>
      <c r="N10" s="8">
        <f t="shared" si="2"/>
        <v>0</v>
      </c>
      <c r="O10" s="8" t="e">
        <f t="shared" si="6"/>
        <v>#DIV/0!</v>
      </c>
      <c r="P10" s="36"/>
    </row>
    <row r="11" spans="1:16">
      <c r="A11" s="9" t="s">
        <v>9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9" t="str">
        <f t="shared" si="4"/>
        <v/>
      </c>
      <c r="M11" s="9" t="str">
        <f t="shared" si="5"/>
        <v/>
      </c>
      <c r="N11" s="9">
        <f t="shared" si="2"/>
        <v>0</v>
      </c>
      <c r="O11" s="9" t="e">
        <f t="shared" si="6"/>
        <v>#DIV/0!</v>
      </c>
      <c r="P11" s="36"/>
    </row>
    <row r="12" spans="1:16">
      <c r="A12" s="10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10" t="str">
        <f t="shared" si="4"/>
        <v/>
      </c>
      <c r="M12" s="10" t="str">
        <f t="shared" si="5"/>
        <v/>
      </c>
      <c r="N12" s="10">
        <f t="shared" si="2"/>
        <v>0</v>
      </c>
      <c r="O12" s="10" t="e">
        <f t="shared" si="6"/>
        <v>#DIV/0!</v>
      </c>
      <c r="P12" s="36"/>
    </row>
    <row r="13" spans="1:16">
      <c r="A13" s="11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 t="str">
        <f t="shared" si="4"/>
        <v/>
      </c>
      <c r="M13" s="23" t="str">
        <f t="shared" si="5"/>
        <v/>
      </c>
      <c r="N13" s="23">
        <f t="shared" si="2"/>
        <v>0</v>
      </c>
      <c r="O13" s="23" t="e">
        <f t="shared" si="6"/>
        <v>#DIV/0!</v>
      </c>
      <c r="P13" s="36"/>
    </row>
    <row r="14" spans="1:16">
      <c r="A14" s="12" t="s">
        <v>12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11" t="str">
        <f t="shared" si="4"/>
        <v/>
      </c>
      <c r="M14" s="11" t="str">
        <f t="shared" si="5"/>
        <v/>
      </c>
      <c r="N14" s="11">
        <f t="shared" si="2"/>
        <v>0</v>
      </c>
      <c r="O14" s="11" t="e">
        <f t="shared" si="6"/>
        <v>#DIV/0!</v>
      </c>
      <c r="P14" s="36"/>
    </row>
    <row r="16" spans="1:16">
      <c r="A16" s="41" t="s">
        <v>29</v>
      </c>
      <c r="B16" s="42"/>
    </row>
    <row r="17" spans="1:9">
      <c r="A17" s="43" t="s">
        <v>30</v>
      </c>
      <c r="B17" s="44">
        <f>SUM(B5:K14)</f>
        <v>912</v>
      </c>
    </row>
    <row r="18" spans="1:9">
      <c r="A18" s="45" t="s">
        <v>31</v>
      </c>
      <c r="B18" s="46">
        <f>COUNT(L5:L14)</f>
        <v>3</v>
      </c>
    </row>
    <row r="19" spans="1:9">
      <c r="A19" s="47" t="s">
        <v>32</v>
      </c>
      <c r="B19" s="48">
        <f>COUNT(B5:K14)</f>
        <v>24</v>
      </c>
    </row>
    <row r="20" spans="1:9">
      <c r="A20" s="49" t="s">
        <v>33</v>
      </c>
      <c r="B20" s="50">
        <f>_xlfn.SINGLE((B17 / B19))</f>
        <v>38</v>
      </c>
    </row>
    <row r="21" spans="1:9">
      <c r="A21" s="51" t="s">
        <v>34</v>
      </c>
      <c r="B21" s="52" t="str">
        <f>IF(MAX(M5:M14)-MIN(M5:M14)&lt;=MIN(M5:M14),"YES","NO")</f>
        <v>YES</v>
      </c>
    </row>
    <row r="23" spans="1:9">
      <c r="A23" s="2" t="s">
        <v>35</v>
      </c>
    </row>
    <row r="24" spans="1:9">
      <c r="A24" s="2"/>
      <c r="B24" s="2" t="s">
        <v>36</v>
      </c>
      <c r="C24" s="2" t="s">
        <v>37</v>
      </c>
      <c r="D24" s="2" t="s">
        <v>38</v>
      </c>
      <c r="E24" s="2" t="s">
        <v>39</v>
      </c>
      <c r="F24" s="2" t="s">
        <v>40</v>
      </c>
      <c r="G24" s="2" t="s">
        <v>41</v>
      </c>
      <c r="H24" s="2" t="s">
        <v>42</v>
      </c>
      <c r="I24" s="2" t="s">
        <v>43</v>
      </c>
    </row>
    <row r="25" spans="1:9">
      <c r="A25" s="3" t="s">
        <v>3</v>
      </c>
      <c r="B25" s="3">
        <f>L5-B20</f>
        <v>-7.25</v>
      </c>
      <c r="C25" s="3">
        <f t="shared" ref="C25:C34" si="7">POWER(B25,2)</f>
        <v>52.5625</v>
      </c>
      <c r="D25" s="3">
        <f t="shared" ref="D25:D26" si="8">_xlfn.SINGLE((C25 * N5))</f>
        <v>420.5</v>
      </c>
      <c r="E25" s="3">
        <f t="shared" ref="E25:E34" si="9">N5-1</f>
        <v>7</v>
      </c>
      <c r="F25" s="3">
        <f t="shared" ref="F25:F34" si="10">POWER(M5,2)</f>
        <v>85.642857142857153</v>
      </c>
      <c r="G25" s="3">
        <f t="shared" ref="G25:G34" si="11">_xlfn.SINGLE((E25 * F25))</f>
        <v>599.50000000000011</v>
      </c>
      <c r="H25" s="3" t="s">
        <v>20</v>
      </c>
      <c r="I25" s="3" t="s">
        <v>20</v>
      </c>
    </row>
    <row r="26" spans="1:9">
      <c r="A26" s="4" t="s">
        <v>4</v>
      </c>
      <c r="B26" s="4">
        <f>L6-B20</f>
        <v>-4</v>
      </c>
      <c r="C26" s="4">
        <f t="shared" si="7"/>
        <v>16</v>
      </c>
      <c r="D26" s="4">
        <f t="shared" si="8"/>
        <v>128</v>
      </c>
      <c r="E26" s="4">
        <f t="shared" si="9"/>
        <v>7</v>
      </c>
      <c r="F26" s="4">
        <f t="shared" si="10"/>
        <v>214</v>
      </c>
      <c r="G26" s="4">
        <f t="shared" si="11"/>
        <v>1498</v>
      </c>
      <c r="H26" s="4">
        <f>SUM(D25,D26)</f>
        <v>548.5</v>
      </c>
      <c r="I26" s="4">
        <f>SUM(G26,G25)</f>
        <v>2097.5</v>
      </c>
    </row>
    <row r="27" spans="1:9">
      <c r="A27" s="5" t="s">
        <v>5</v>
      </c>
      <c r="B27" s="5">
        <f>L7-B20</f>
        <v>11.25</v>
      </c>
      <c r="C27" s="5">
        <f t="shared" si="7"/>
        <v>126.5625</v>
      </c>
      <c r="D27" s="5">
        <f t="shared" ref="D27:D28" si="12">_xlfn.SINGLE((N7 * C27))</f>
        <v>1012.5</v>
      </c>
      <c r="E27" s="5">
        <f t="shared" si="9"/>
        <v>7</v>
      </c>
      <c r="F27" s="5">
        <f t="shared" si="10"/>
        <v>116.49999999999999</v>
      </c>
      <c r="G27" s="5">
        <f t="shared" si="11"/>
        <v>815.49999999999989</v>
      </c>
      <c r="H27" s="5">
        <f t="shared" ref="H27:H32" si="13">SUM(H26,D27)</f>
        <v>1561</v>
      </c>
      <c r="I27" s="5">
        <f>SUM(I26,G27)</f>
        <v>2913</v>
      </c>
    </row>
    <row r="28" spans="1:9">
      <c r="A28" s="6" t="s">
        <v>6</v>
      </c>
      <c r="B28" s="6" t="e">
        <f>L8-B20</f>
        <v>#VALUE!</v>
      </c>
      <c r="C28" s="6" t="e">
        <f t="shared" si="7"/>
        <v>#VALUE!</v>
      </c>
      <c r="D28" s="6" t="e">
        <f t="shared" si="12"/>
        <v>#VALUE!</v>
      </c>
      <c r="E28" s="6">
        <f t="shared" si="9"/>
        <v>-1</v>
      </c>
      <c r="F28" s="6" t="e">
        <f t="shared" si="10"/>
        <v>#VALUE!</v>
      </c>
      <c r="G28" s="6" t="e">
        <f t="shared" si="11"/>
        <v>#VALUE!</v>
      </c>
      <c r="H28" s="6" t="e">
        <f t="shared" si="13"/>
        <v>#VALUE!</v>
      </c>
      <c r="I28" s="6" t="e">
        <f t="shared" ref="I28:I34" si="14">SUM(I27,G28)</f>
        <v>#VALUE!</v>
      </c>
    </row>
    <row r="29" spans="1:9">
      <c r="A29" s="7" t="s">
        <v>7</v>
      </c>
      <c r="B29" s="7" t="e">
        <f>L9-B20</f>
        <v>#VALUE!</v>
      </c>
      <c r="C29" s="7" t="e">
        <f t="shared" si="7"/>
        <v>#VALUE!</v>
      </c>
      <c r="D29" s="7" t="e">
        <f t="shared" ref="D29:D34" si="15">_xlfn.SINGLE((C29 * N9))</f>
        <v>#VALUE!</v>
      </c>
      <c r="E29" s="7">
        <f t="shared" si="9"/>
        <v>-1</v>
      </c>
      <c r="F29" s="7" t="e">
        <f t="shared" si="10"/>
        <v>#VALUE!</v>
      </c>
      <c r="G29" s="7" t="e">
        <f t="shared" si="11"/>
        <v>#VALUE!</v>
      </c>
      <c r="H29" s="7" t="e">
        <f t="shared" si="13"/>
        <v>#VALUE!</v>
      </c>
      <c r="I29" s="7" t="e">
        <f t="shared" si="14"/>
        <v>#VALUE!</v>
      </c>
    </row>
    <row r="30" spans="1:9">
      <c r="A30" s="8" t="s">
        <v>8</v>
      </c>
      <c r="B30" s="8" t="e">
        <f>L10-B20</f>
        <v>#VALUE!</v>
      </c>
      <c r="C30" s="8" t="e">
        <f t="shared" si="7"/>
        <v>#VALUE!</v>
      </c>
      <c r="D30" s="8" t="e">
        <f t="shared" si="15"/>
        <v>#VALUE!</v>
      </c>
      <c r="E30" s="8">
        <f t="shared" si="9"/>
        <v>-1</v>
      </c>
      <c r="F30" s="8" t="e">
        <f t="shared" si="10"/>
        <v>#VALUE!</v>
      </c>
      <c r="G30" s="8" t="e">
        <f t="shared" si="11"/>
        <v>#VALUE!</v>
      </c>
      <c r="H30" s="8" t="e">
        <f t="shared" si="13"/>
        <v>#VALUE!</v>
      </c>
      <c r="I30" s="8" t="e">
        <f t="shared" si="14"/>
        <v>#VALUE!</v>
      </c>
    </row>
    <row r="31" spans="1:9">
      <c r="A31" s="9" t="s">
        <v>9</v>
      </c>
      <c r="B31" s="9" t="e">
        <f>L11-B20</f>
        <v>#VALUE!</v>
      </c>
      <c r="C31" s="9" t="e">
        <f t="shared" si="7"/>
        <v>#VALUE!</v>
      </c>
      <c r="D31" s="9" t="e">
        <f t="shared" si="15"/>
        <v>#VALUE!</v>
      </c>
      <c r="E31" s="9">
        <f t="shared" si="9"/>
        <v>-1</v>
      </c>
      <c r="F31" s="9" t="e">
        <f t="shared" si="10"/>
        <v>#VALUE!</v>
      </c>
      <c r="G31" s="9" t="e">
        <f t="shared" si="11"/>
        <v>#VALUE!</v>
      </c>
      <c r="H31" s="9" t="e">
        <f t="shared" si="13"/>
        <v>#VALUE!</v>
      </c>
      <c r="I31" s="9" t="e">
        <f t="shared" si="14"/>
        <v>#VALUE!</v>
      </c>
    </row>
    <row r="32" spans="1:9">
      <c r="A32" s="10" t="s">
        <v>10</v>
      </c>
      <c r="B32" s="10" t="e">
        <f>L12-B20</f>
        <v>#VALUE!</v>
      </c>
      <c r="C32" s="10" t="e">
        <f t="shared" si="7"/>
        <v>#VALUE!</v>
      </c>
      <c r="D32" s="10" t="e">
        <f t="shared" si="15"/>
        <v>#VALUE!</v>
      </c>
      <c r="E32" s="10">
        <f t="shared" si="9"/>
        <v>-1</v>
      </c>
      <c r="F32" s="10" t="e">
        <f t="shared" si="10"/>
        <v>#VALUE!</v>
      </c>
      <c r="G32" s="10" t="e">
        <f t="shared" si="11"/>
        <v>#VALUE!</v>
      </c>
      <c r="H32" s="10" t="e">
        <f t="shared" si="13"/>
        <v>#VALUE!</v>
      </c>
      <c r="I32" s="10" t="e">
        <f t="shared" si="14"/>
        <v>#VALUE!</v>
      </c>
    </row>
    <row r="33" spans="1:26">
      <c r="A33" s="23" t="s">
        <v>11</v>
      </c>
      <c r="B33" s="23" t="e">
        <f>L13-B20</f>
        <v>#VALUE!</v>
      </c>
      <c r="C33" s="23" t="e">
        <f t="shared" si="7"/>
        <v>#VALUE!</v>
      </c>
      <c r="D33" s="23" t="e">
        <f t="shared" si="15"/>
        <v>#VALUE!</v>
      </c>
      <c r="E33" s="23">
        <f t="shared" si="9"/>
        <v>-1</v>
      </c>
      <c r="F33" s="23" t="e">
        <f t="shared" si="10"/>
        <v>#VALUE!</v>
      </c>
      <c r="G33" s="23" t="e">
        <f t="shared" si="11"/>
        <v>#VALUE!</v>
      </c>
      <c r="H33" s="23" t="e">
        <f>SUM(H32,D33)</f>
        <v>#VALUE!</v>
      </c>
      <c r="I33" s="23" t="e">
        <f t="shared" si="14"/>
        <v>#VALUE!</v>
      </c>
    </row>
    <row r="34" spans="1:26">
      <c r="A34" s="11" t="s">
        <v>12</v>
      </c>
      <c r="B34" s="11" t="e">
        <f>L14-B20</f>
        <v>#VALUE!</v>
      </c>
      <c r="C34" s="11" t="e">
        <f t="shared" si="7"/>
        <v>#VALUE!</v>
      </c>
      <c r="D34" s="11" t="e">
        <f t="shared" si="15"/>
        <v>#VALUE!</v>
      </c>
      <c r="E34" s="11">
        <f t="shared" si="9"/>
        <v>-1</v>
      </c>
      <c r="F34" s="11" t="e">
        <f t="shared" si="10"/>
        <v>#VALUE!</v>
      </c>
      <c r="G34" s="11" t="e">
        <f t="shared" si="11"/>
        <v>#VALUE!</v>
      </c>
      <c r="H34" s="11" t="e">
        <f>SUM(H33,D34)</f>
        <v>#VALUE!</v>
      </c>
      <c r="I34" s="11" t="e">
        <f t="shared" si="14"/>
        <v>#VALUE!</v>
      </c>
    </row>
    <row r="36" spans="1:26">
      <c r="A36" s="2" t="s">
        <v>44</v>
      </c>
      <c r="V36" s="53"/>
      <c r="W36" s="53"/>
    </row>
    <row r="37" spans="1:26">
      <c r="A37" s="54" t="s">
        <v>45</v>
      </c>
      <c r="B37" s="55" t="s">
        <v>46</v>
      </c>
      <c r="C37" s="56" t="s">
        <v>47</v>
      </c>
      <c r="D37" s="57" t="s">
        <v>48</v>
      </c>
      <c r="E37" s="51" t="s">
        <v>8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S37" s="58"/>
      <c r="T37" s="58"/>
      <c r="U37" s="36"/>
      <c r="V37" s="58"/>
      <c r="W37" s="58"/>
      <c r="Y37" s="58"/>
      <c r="Z37" s="58"/>
    </row>
    <row r="38" spans="1:26">
      <c r="A38" s="55" t="s">
        <v>49</v>
      </c>
      <c r="B38" s="15">
        <f>B18-1</f>
        <v>2</v>
      </c>
      <c r="C38" s="16" t="e">
        <f>MAX(H26:H34)</f>
        <v>#VALUE!</v>
      </c>
      <c r="D38" s="17" t="e">
        <f t="shared" ref="D38:D39" si="16">_xlfn.SINGLE((C38 / B38))</f>
        <v>#VALUE!</v>
      </c>
      <c r="E38" s="18" t="e">
        <f>_xlfn.SINGLE((D38 / D39))</f>
        <v>#VALUE!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S38" s="58"/>
      <c r="T38" s="58"/>
      <c r="U38" s="36"/>
      <c r="V38" s="58"/>
      <c r="W38" s="58"/>
      <c r="Y38" s="58"/>
      <c r="Z38" s="58"/>
    </row>
    <row r="39" spans="1:26">
      <c r="A39" s="56" t="s">
        <v>50</v>
      </c>
      <c r="B39" s="16">
        <f>B19-B18</f>
        <v>21</v>
      </c>
      <c r="C39" s="16" t="e">
        <f>MAX(I26:I34)</f>
        <v>#VALUE!</v>
      </c>
      <c r="D39" s="17" t="e">
        <f t="shared" si="16"/>
        <v>#VALUE!</v>
      </c>
      <c r="E39" s="18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S39" s="58"/>
      <c r="T39" s="58"/>
      <c r="U39" s="36"/>
      <c r="V39" s="58"/>
      <c r="W39" s="58"/>
      <c r="Y39" s="58"/>
      <c r="Z39" s="58"/>
    </row>
    <row r="40" spans="1:26">
      <c r="A40" s="57" t="s">
        <v>13</v>
      </c>
      <c r="B40" s="17">
        <f t="shared" ref="B40:C40" si="17">SUM(B38:B39)</f>
        <v>23</v>
      </c>
      <c r="C40" s="17" t="e">
        <f t="shared" si="17"/>
        <v>#VALUE!</v>
      </c>
      <c r="D40" s="17"/>
      <c r="E40" s="18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S40" s="58"/>
      <c r="T40" s="58"/>
      <c r="U40" s="36"/>
      <c r="V40" s="58"/>
      <c r="W40" s="58"/>
      <c r="Y40" s="58"/>
      <c r="Z40" s="58"/>
    </row>
    <row r="41" spans="1:26">
      <c r="A41" s="53"/>
      <c r="B41" s="53"/>
      <c r="C41" s="53"/>
      <c r="D41" s="53"/>
      <c r="E41" s="53"/>
    </row>
    <row r="42" spans="1:26">
      <c r="A42" s="59" t="s">
        <v>51</v>
      </c>
      <c r="B42" s="53"/>
      <c r="C42" s="53"/>
      <c r="D42" s="53"/>
      <c r="E42" s="53"/>
    </row>
    <row r="43" spans="1:26">
      <c r="A43" s="40" t="s">
        <v>52</v>
      </c>
      <c r="B43" s="36"/>
      <c r="C43" s="36"/>
      <c r="D43" s="36"/>
      <c r="E43" s="36"/>
      <c r="F43" s="36"/>
      <c r="G43" s="40" t="s">
        <v>53</v>
      </c>
      <c r="H43" s="36"/>
      <c r="I43" s="36"/>
      <c r="J43" s="36"/>
      <c r="K43" s="36"/>
      <c r="L43" s="36"/>
      <c r="M43" s="36"/>
      <c r="N43" s="40"/>
      <c r="O43" s="36"/>
      <c r="P43" s="36"/>
      <c r="Q43" s="36"/>
      <c r="R43" s="36"/>
      <c r="S43" s="60" t="s">
        <v>54</v>
      </c>
      <c r="T43" s="36"/>
      <c r="U43" s="36"/>
      <c r="V43" s="36"/>
      <c r="W43" s="36"/>
      <c r="X43" s="36"/>
      <c r="Y43" s="36"/>
      <c r="Z43" s="36"/>
    </row>
    <row r="44" spans="1:26">
      <c r="A44" s="53"/>
      <c r="B44" s="42"/>
      <c r="C44" s="61" t="s">
        <v>3</v>
      </c>
      <c r="D44" s="62" t="s">
        <v>4</v>
      </c>
      <c r="E44" s="63" t="s">
        <v>5</v>
      </c>
      <c r="F44" s="64" t="s">
        <v>6</v>
      </c>
      <c r="G44" s="65" t="s">
        <v>7</v>
      </c>
      <c r="H44" s="66" t="s">
        <v>8</v>
      </c>
      <c r="I44" s="67" t="s">
        <v>9</v>
      </c>
      <c r="J44" s="68" t="s">
        <v>10</v>
      </c>
      <c r="K44" s="69" t="s">
        <v>11</v>
      </c>
      <c r="L44" s="70" t="s">
        <v>12</v>
      </c>
      <c r="N44" s="42"/>
      <c r="O44" s="61" t="s">
        <v>3</v>
      </c>
      <c r="P44" s="62" t="s">
        <v>4</v>
      </c>
      <c r="Q44" s="63" t="s">
        <v>5</v>
      </c>
      <c r="R44" s="64" t="s">
        <v>6</v>
      </c>
      <c r="S44" s="65" t="s">
        <v>7</v>
      </c>
      <c r="T44" s="66" t="s">
        <v>8</v>
      </c>
      <c r="U44" s="67" t="s">
        <v>9</v>
      </c>
      <c r="V44" s="68" t="s">
        <v>10</v>
      </c>
      <c r="W44" s="69" t="s">
        <v>11</v>
      </c>
      <c r="X44" s="70" t="s">
        <v>12</v>
      </c>
    </row>
    <row r="45" spans="1:26">
      <c r="A45" s="53"/>
      <c r="B45" s="61" t="s">
        <v>3</v>
      </c>
      <c r="C45" s="71" t="s">
        <v>20</v>
      </c>
      <c r="D45" s="71">
        <f>L5-L6</f>
        <v>-3.25</v>
      </c>
      <c r="E45" s="71">
        <f>L5-L7</f>
        <v>-18.5</v>
      </c>
      <c r="F45" s="71" t="e">
        <f>L5-L8</f>
        <v>#VALUE!</v>
      </c>
      <c r="G45" s="71" t="e">
        <f>L5-L9</f>
        <v>#VALUE!</v>
      </c>
      <c r="H45" s="71" t="e">
        <f>L5-L10</f>
        <v>#VALUE!</v>
      </c>
      <c r="I45" s="71" t="e">
        <f>L5-L11</f>
        <v>#VALUE!</v>
      </c>
      <c r="J45" s="71" t="e">
        <f>L5-L12</f>
        <v>#VALUE!</v>
      </c>
      <c r="K45" s="71" t="e">
        <f>L5-L13</f>
        <v>#VALUE!</v>
      </c>
      <c r="L45" s="71" t="e">
        <f>L5-L14</f>
        <v>#VALUE!</v>
      </c>
      <c r="N45" s="61" t="s">
        <v>3</v>
      </c>
      <c r="O45" s="71" t="s">
        <v>20</v>
      </c>
      <c r="P45" s="71">
        <f>SUM(O5,O6)</f>
        <v>0.25</v>
      </c>
      <c r="Q45" s="71">
        <f>SUM(O5,O7)</f>
        <v>0.25</v>
      </c>
      <c r="R45" s="71" t="e">
        <f>SUM(O5,O8)</f>
        <v>#DIV/0!</v>
      </c>
      <c r="S45" s="71" t="e">
        <f>SUM(O5,O9)</f>
        <v>#DIV/0!</v>
      </c>
      <c r="T45" s="71" t="e">
        <f>SUM(O5,O10)</f>
        <v>#DIV/0!</v>
      </c>
      <c r="U45" s="71" t="e">
        <f>SUM(O5,O11)</f>
        <v>#DIV/0!</v>
      </c>
      <c r="V45" s="71" t="e">
        <f>SUM(O12,O5)</f>
        <v>#DIV/0!</v>
      </c>
      <c r="W45" s="71"/>
      <c r="X45" s="71"/>
    </row>
    <row r="46" spans="1:26">
      <c r="A46" s="53"/>
      <c r="B46" s="62" t="s">
        <v>4</v>
      </c>
      <c r="C46" s="72">
        <f>L6-L5</f>
        <v>3.25</v>
      </c>
      <c r="D46" s="72" t="s">
        <v>20</v>
      </c>
      <c r="E46" s="72">
        <f>L6-L7</f>
        <v>-15.25</v>
      </c>
      <c r="F46" s="72" t="e">
        <f>L6-L8</f>
        <v>#VALUE!</v>
      </c>
      <c r="G46" s="72" t="e">
        <f>L6-L9</f>
        <v>#VALUE!</v>
      </c>
      <c r="H46" s="72" t="e">
        <f>L6-L10</f>
        <v>#VALUE!</v>
      </c>
      <c r="I46" s="72" t="e">
        <f>L6-L11</f>
        <v>#VALUE!</v>
      </c>
      <c r="J46" s="72" t="e">
        <f>L6-L12</f>
        <v>#VALUE!</v>
      </c>
      <c r="K46" s="72" t="e">
        <f>L6-L13</f>
        <v>#VALUE!</v>
      </c>
      <c r="L46" s="72" t="e">
        <f>L6-L14</f>
        <v>#VALUE!</v>
      </c>
      <c r="N46" s="62" t="s">
        <v>4</v>
      </c>
      <c r="O46" s="72">
        <f>SUM(O5,O6)</f>
        <v>0.25</v>
      </c>
      <c r="P46" s="72" t="s">
        <v>20</v>
      </c>
      <c r="Q46" s="72">
        <f>SUM(O6,O7)</f>
        <v>0.25</v>
      </c>
      <c r="R46" s="72" t="e">
        <f>SUM(O6,O8)</f>
        <v>#DIV/0!</v>
      </c>
      <c r="S46" s="72" t="e">
        <f>SUM(O9,O6)</f>
        <v>#DIV/0!</v>
      </c>
      <c r="T46" s="72" t="e">
        <f>SUM(O10,O6)</f>
        <v>#DIV/0!</v>
      </c>
      <c r="U46" s="72" t="e">
        <f>SUM(O6,O11)</f>
        <v>#DIV/0!</v>
      </c>
      <c r="V46" s="72" t="e">
        <f>SUM(O6,O12)</f>
        <v>#DIV/0!</v>
      </c>
      <c r="W46" s="72"/>
      <c r="X46" s="72"/>
    </row>
    <row r="47" spans="1:26">
      <c r="A47" s="53"/>
      <c r="B47" s="63" t="s">
        <v>5</v>
      </c>
      <c r="C47" s="73">
        <f>L7-L5</f>
        <v>18.5</v>
      </c>
      <c r="D47" s="73">
        <f>L7-L6</f>
        <v>15.25</v>
      </c>
      <c r="E47" s="73" t="s">
        <v>20</v>
      </c>
      <c r="F47" s="73" t="e">
        <f>L7-L8</f>
        <v>#VALUE!</v>
      </c>
      <c r="G47" s="73" t="e">
        <f>L7-L9</f>
        <v>#VALUE!</v>
      </c>
      <c r="H47" s="73" t="e">
        <f>L7-L10</f>
        <v>#VALUE!</v>
      </c>
      <c r="I47" s="73" t="e">
        <f>L7-L11</f>
        <v>#VALUE!</v>
      </c>
      <c r="J47" s="73" t="e">
        <f>L7-L12</f>
        <v>#VALUE!</v>
      </c>
      <c r="K47" s="73" t="e">
        <f>L7-L13</f>
        <v>#VALUE!</v>
      </c>
      <c r="L47" s="73" t="e">
        <f>L7-L14</f>
        <v>#VALUE!</v>
      </c>
      <c r="N47" s="63" t="s">
        <v>5</v>
      </c>
      <c r="O47" s="73">
        <f>SUM(O5,O7)</f>
        <v>0.25</v>
      </c>
      <c r="P47" s="73">
        <f>SUM(O6,O7)</f>
        <v>0.25</v>
      </c>
      <c r="Q47" s="73" t="s">
        <v>20</v>
      </c>
      <c r="R47" s="73" t="e">
        <f>SUM(O7,O8)</f>
        <v>#DIV/0!</v>
      </c>
      <c r="S47" s="73" t="e">
        <f>SUM(O7,O9)</f>
        <v>#DIV/0!</v>
      </c>
      <c r="T47" s="73" t="e">
        <f>SUM(O7,O10)</f>
        <v>#DIV/0!</v>
      </c>
      <c r="U47" s="73" t="e">
        <f>SUM(O7,O11)</f>
        <v>#DIV/0!</v>
      </c>
      <c r="V47" s="73"/>
      <c r="W47" s="73"/>
      <c r="X47" s="73"/>
    </row>
    <row r="48" spans="1:26">
      <c r="A48" s="53"/>
      <c r="B48" s="64" t="s">
        <v>6</v>
      </c>
      <c r="C48" s="74" t="e">
        <f>L8-L5</f>
        <v>#VALUE!</v>
      </c>
      <c r="D48" s="74" t="e">
        <f>L8-L6</f>
        <v>#VALUE!</v>
      </c>
      <c r="E48" s="74" t="e">
        <f>L8-L7</f>
        <v>#VALUE!</v>
      </c>
      <c r="F48" s="74" t="s">
        <v>20</v>
      </c>
      <c r="G48" s="74" t="e">
        <f>L8-L9</f>
        <v>#VALUE!</v>
      </c>
      <c r="H48" s="74" t="e">
        <f>L8-L10</f>
        <v>#VALUE!</v>
      </c>
      <c r="I48" s="74" t="e">
        <f>L8-L11</f>
        <v>#VALUE!</v>
      </c>
      <c r="J48" s="74" t="e">
        <f>L8-L12</f>
        <v>#VALUE!</v>
      </c>
      <c r="K48" s="74" t="e">
        <f>L8-L13</f>
        <v>#VALUE!</v>
      </c>
      <c r="L48" s="74" t="e">
        <f>L8-L14</f>
        <v>#VALUE!</v>
      </c>
      <c r="N48" s="64" t="s">
        <v>6</v>
      </c>
      <c r="O48" s="74" t="e">
        <f>SUM(O5,O8)</f>
        <v>#DIV/0!</v>
      </c>
      <c r="P48" s="74" t="e">
        <f>SUM(O8,O6)</f>
        <v>#DIV/0!</v>
      </c>
      <c r="Q48" s="74" t="e">
        <f>SUM(O7,O8)</f>
        <v>#DIV/0!</v>
      </c>
      <c r="R48" s="74" t="s">
        <v>20</v>
      </c>
      <c r="S48" s="74" t="e">
        <f>SUM(O8,O9)</f>
        <v>#DIV/0!</v>
      </c>
      <c r="T48" s="74" t="e">
        <f>SUM(O8,O10)</f>
        <v>#DIV/0!</v>
      </c>
      <c r="U48" s="74" t="e">
        <f>SUM(O8,O11)</f>
        <v>#DIV/0!</v>
      </c>
      <c r="V48" s="74"/>
      <c r="W48" s="74"/>
      <c r="X48" s="74"/>
    </row>
    <row r="49" spans="1:24">
      <c r="A49" s="59" t="s">
        <v>55</v>
      </c>
      <c r="B49" s="65" t="s">
        <v>7</v>
      </c>
      <c r="C49" s="75" t="e">
        <f>L9-L5</f>
        <v>#VALUE!</v>
      </c>
      <c r="D49" s="75" t="e">
        <f>L9-L6</f>
        <v>#VALUE!</v>
      </c>
      <c r="E49" s="75" t="e">
        <f>L9-L7</f>
        <v>#VALUE!</v>
      </c>
      <c r="F49" s="76" t="e">
        <f>L9-L8</f>
        <v>#VALUE!</v>
      </c>
      <c r="G49" s="75" t="s">
        <v>20</v>
      </c>
      <c r="H49" s="75" t="e">
        <f>L9-L10</f>
        <v>#VALUE!</v>
      </c>
      <c r="I49" s="75" t="e">
        <f>L9-L11</f>
        <v>#VALUE!</v>
      </c>
      <c r="J49" s="75" t="e">
        <f>L9-L12</f>
        <v>#VALUE!</v>
      </c>
      <c r="K49" s="75" t="e">
        <f>L9-L13</f>
        <v>#VALUE!</v>
      </c>
      <c r="L49" s="75" t="e">
        <f>L9-L14</f>
        <v>#VALUE!</v>
      </c>
      <c r="M49" s="77" t="s">
        <v>56</v>
      </c>
      <c r="N49" s="65" t="s">
        <v>7</v>
      </c>
      <c r="O49" s="75" t="e">
        <f>SUM(O5,O9)</f>
        <v>#DIV/0!</v>
      </c>
      <c r="P49" s="75" t="e">
        <f>SUM(O9,O6)</f>
        <v>#DIV/0!</v>
      </c>
      <c r="Q49" s="75" t="e">
        <f>SUM(O7,O9)</f>
        <v>#DIV/0!</v>
      </c>
      <c r="R49" s="76" t="e">
        <f>SUM(O8,O9)</f>
        <v>#DIV/0!</v>
      </c>
      <c r="S49" s="75" t="s">
        <v>20</v>
      </c>
      <c r="T49" s="75" t="e">
        <f>SUM(O9,O10)</f>
        <v>#DIV/0!</v>
      </c>
      <c r="U49" s="75" t="e">
        <f>SUM(O9,O11)</f>
        <v>#DIV/0!</v>
      </c>
      <c r="V49" s="75"/>
      <c r="W49" s="75"/>
      <c r="X49" s="75"/>
    </row>
    <row r="50" spans="1:24">
      <c r="A50" s="53"/>
      <c r="B50" s="66" t="s">
        <v>8</v>
      </c>
      <c r="C50" s="78" t="e">
        <f>L10-L5</f>
        <v>#VALUE!</v>
      </c>
      <c r="D50" s="78" t="e">
        <f>L10-L6</f>
        <v>#VALUE!</v>
      </c>
      <c r="E50" s="78" t="e">
        <f>L10-L7</f>
        <v>#VALUE!</v>
      </c>
      <c r="F50" s="78" t="e">
        <f>L10-L8</f>
        <v>#VALUE!</v>
      </c>
      <c r="G50" s="78" t="e">
        <f>L10-L9</f>
        <v>#VALUE!</v>
      </c>
      <c r="H50" s="78" t="s">
        <v>20</v>
      </c>
      <c r="I50" s="78" t="e">
        <f>L10-L11</f>
        <v>#VALUE!</v>
      </c>
      <c r="J50" s="78" t="e">
        <f>L10-L12</f>
        <v>#VALUE!</v>
      </c>
      <c r="K50" s="78" t="e">
        <f>L10-L13</f>
        <v>#VALUE!</v>
      </c>
      <c r="L50" s="78" t="e">
        <f>L10-L14</f>
        <v>#VALUE!</v>
      </c>
      <c r="N50" s="66" t="s">
        <v>8</v>
      </c>
      <c r="O50" s="78" t="e">
        <f>SUM(O5,O10)</f>
        <v>#DIV/0!</v>
      </c>
      <c r="P50" s="78" t="e">
        <f>SUM(O10,O6)</f>
        <v>#DIV/0!</v>
      </c>
      <c r="Q50" s="78" t="e">
        <f>SUM(O7,O10)</f>
        <v>#DIV/0!</v>
      </c>
      <c r="R50" s="78" t="e">
        <f>SUM(O8,O10)</f>
        <v>#DIV/0!</v>
      </c>
      <c r="S50" s="78" t="e">
        <f>SUM(O9,O10)</f>
        <v>#DIV/0!</v>
      </c>
      <c r="T50" s="78" t="s">
        <v>20</v>
      </c>
      <c r="U50" s="78" t="e">
        <f>SUM(O11,O10)</f>
        <v>#DIV/0!</v>
      </c>
      <c r="V50" s="78"/>
      <c r="W50" s="78"/>
      <c r="X50" s="78"/>
    </row>
    <row r="51" spans="1:24">
      <c r="A51" s="53"/>
      <c r="B51" s="67" t="s">
        <v>9</v>
      </c>
      <c r="C51" s="79" t="e">
        <f>L11-L5</f>
        <v>#VALUE!</v>
      </c>
      <c r="D51" s="79" t="e">
        <f>L11-L6</f>
        <v>#VALUE!</v>
      </c>
      <c r="E51" s="79" t="e">
        <f>L11-L7</f>
        <v>#VALUE!</v>
      </c>
      <c r="F51" s="79" t="e">
        <f>L11-L8</f>
        <v>#VALUE!</v>
      </c>
      <c r="G51" s="79" t="e">
        <f>L11-L9</f>
        <v>#VALUE!</v>
      </c>
      <c r="H51" s="79" t="e">
        <f>L11-L10</f>
        <v>#VALUE!</v>
      </c>
      <c r="I51" s="79" t="s">
        <v>20</v>
      </c>
      <c r="J51" s="79" t="e">
        <f>L11-L12</f>
        <v>#VALUE!</v>
      </c>
      <c r="K51" s="79" t="e">
        <f>L11-L13</f>
        <v>#VALUE!</v>
      </c>
      <c r="L51" s="79" t="e">
        <f>L11-L14</f>
        <v>#VALUE!</v>
      </c>
      <c r="N51" s="67" t="s">
        <v>9</v>
      </c>
      <c r="O51" s="79" t="e">
        <f>SUM(O5,O11)</f>
        <v>#DIV/0!</v>
      </c>
      <c r="P51" s="79" t="e">
        <f>SUM(O6,O11)</f>
        <v>#DIV/0!</v>
      </c>
      <c r="Q51" s="79" t="e">
        <f>SUM(O7,O11)</f>
        <v>#DIV/0!</v>
      </c>
      <c r="R51" s="79" t="e">
        <f>SUM(O8,O11)</f>
        <v>#DIV/0!</v>
      </c>
      <c r="S51" s="79" t="e">
        <f>SUM(O9,O11)</f>
        <v>#DIV/0!</v>
      </c>
      <c r="T51" s="79" t="e">
        <f>SUM(O11,O10)</f>
        <v>#DIV/0!</v>
      </c>
      <c r="U51" s="79" t="s">
        <v>20</v>
      </c>
      <c r="V51" s="79"/>
      <c r="W51" s="79"/>
      <c r="X51" s="79"/>
    </row>
    <row r="52" spans="1:24">
      <c r="A52" s="53"/>
      <c r="B52" s="68" t="s">
        <v>10</v>
      </c>
      <c r="C52" s="80" t="e">
        <f>L12-L5</f>
        <v>#VALUE!</v>
      </c>
      <c r="D52" s="80" t="e">
        <f>L12-L6</f>
        <v>#VALUE!</v>
      </c>
      <c r="E52" s="80" t="e">
        <f>L12-L7</f>
        <v>#VALUE!</v>
      </c>
      <c r="F52" s="80" t="e">
        <f>L12-L8</f>
        <v>#VALUE!</v>
      </c>
      <c r="G52" s="80" t="e">
        <f>L12-L9</f>
        <v>#VALUE!</v>
      </c>
      <c r="H52" s="80" t="e">
        <f>L12-L10</f>
        <v>#VALUE!</v>
      </c>
      <c r="I52" s="80" t="e">
        <f>L12-L11</f>
        <v>#VALUE!</v>
      </c>
      <c r="J52" s="80" t="s">
        <v>20</v>
      </c>
      <c r="K52" s="80" t="e">
        <f>L12-L13</f>
        <v>#VALUE!</v>
      </c>
      <c r="L52" s="80" t="e">
        <f>L12-L14</f>
        <v>#VALUE!</v>
      </c>
      <c r="N52" s="68" t="s">
        <v>10</v>
      </c>
      <c r="O52" s="80" t="e">
        <f>SUM(O12,O5)</f>
        <v>#DIV/0!</v>
      </c>
      <c r="P52" s="80" t="e">
        <f>SUM(O6,O12)</f>
        <v>#DIV/0!</v>
      </c>
      <c r="Q52" s="80"/>
      <c r="R52" s="80"/>
      <c r="S52" s="80"/>
      <c r="T52" s="80"/>
      <c r="U52" s="80"/>
      <c r="V52" s="80" t="s">
        <v>20</v>
      </c>
      <c r="W52" s="80"/>
      <c r="X52" s="80"/>
    </row>
    <row r="53" spans="1:24">
      <c r="A53" s="53"/>
      <c r="B53" s="69" t="s">
        <v>11</v>
      </c>
      <c r="C53" s="81" t="e">
        <f>L13-L5</f>
        <v>#VALUE!</v>
      </c>
      <c r="D53" s="81" t="e">
        <f>L13-L6</f>
        <v>#VALUE!</v>
      </c>
      <c r="E53" s="81" t="e">
        <f>L13-L7</f>
        <v>#VALUE!</v>
      </c>
      <c r="F53" s="81" t="e">
        <f>L13-L8</f>
        <v>#VALUE!</v>
      </c>
      <c r="G53" s="81" t="e">
        <f>L13-L9</f>
        <v>#VALUE!</v>
      </c>
      <c r="H53" s="81" t="e">
        <f>L13-L10</f>
        <v>#VALUE!</v>
      </c>
      <c r="I53" s="81" t="e">
        <f>L13-L11</f>
        <v>#VALUE!</v>
      </c>
      <c r="J53" s="81" t="e">
        <f>L13-L12</f>
        <v>#VALUE!</v>
      </c>
      <c r="K53" s="81" t="s">
        <v>20</v>
      </c>
      <c r="L53" s="81" t="e">
        <f>L13-L14</f>
        <v>#VALUE!</v>
      </c>
      <c r="N53" s="69" t="s">
        <v>11</v>
      </c>
      <c r="O53" s="81"/>
      <c r="P53" s="81"/>
      <c r="Q53" s="81"/>
      <c r="R53" s="81"/>
      <c r="S53" s="81"/>
      <c r="T53" s="81"/>
      <c r="U53" s="81"/>
      <c r="V53" s="81"/>
      <c r="W53" s="81" t="s">
        <v>20</v>
      </c>
      <c r="X53" s="81"/>
    </row>
    <row r="54" spans="1:24">
      <c r="A54" s="53"/>
      <c r="B54" s="70" t="s">
        <v>12</v>
      </c>
      <c r="C54" s="82" t="e">
        <f>L14-L5</f>
        <v>#VALUE!</v>
      </c>
      <c r="D54" s="82" t="e">
        <f>L14-L6</f>
        <v>#VALUE!</v>
      </c>
      <c r="E54" s="82" t="e">
        <f>L14-L7</f>
        <v>#VALUE!</v>
      </c>
      <c r="F54" s="82" t="e">
        <f>L14-L8</f>
        <v>#VALUE!</v>
      </c>
      <c r="G54" s="82" t="e">
        <f>L14-L9</f>
        <v>#VALUE!</v>
      </c>
      <c r="H54" s="82" t="e">
        <f>L14-L10</f>
        <v>#VALUE!</v>
      </c>
      <c r="I54" s="82" t="e">
        <f>L14-L11</f>
        <v>#VALUE!</v>
      </c>
      <c r="J54" s="82" t="e">
        <f>L14-L12</f>
        <v>#VALUE!</v>
      </c>
      <c r="K54" s="82" t="e">
        <f>L14-L13</f>
        <v>#VALUE!</v>
      </c>
      <c r="L54" s="82" t="s">
        <v>20</v>
      </c>
      <c r="N54" s="70" t="s">
        <v>12</v>
      </c>
      <c r="O54" s="82"/>
      <c r="P54" s="82"/>
      <c r="Q54" s="82"/>
      <c r="R54" s="82"/>
      <c r="S54" s="82"/>
      <c r="T54" s="82"/>
      <c r="U54" s="82"/>
      <c r="V54" s="82"/>
      <c r="W54" s="82"/>
      <c r="X54" s="82" t="s">
        <v>20</v>
      </c>
    </row>
    <row r="56" spans="1:24">
      <c r="A56" s="2" t="s">
        <v>57</v>
      </c>
    </row>
    <row r="57" spans="1:24">
      <c r="A57" s="40" t="s">
        <v>52</v>
      </c>
      <c r="B57" s="36"/>
      <c r="C57" s="36"/>
      <c r="D57" s="36"/>
      <c r="E57" s="36"/>
      <c r="F57" s="36"/>
      <c r="G57" s="40" t="s">
        <v>53</v>
      </c>
      <c r="H57" s="36"/>
      <c r="I57" s="36"/>
      <c r="J57" s="36"/>
      <c r="K57" s="36"/>
      <c r="L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spans="1:24">
      <c r="A58" s="53"/>
      <c r="B58" s="42"/>
      <c r="C58" s="61" t="s">
        <v>3</v>
      </c>
      <c r="D58" s="62" t="s">
        <v>4</v>
      </c>
      <c r="E58" s="63" t="s">
        <v>5</v>
      </c>
      <c r="F58" s="64" t="s">
        <v>6</v>
      </c>
      <c r="G58" s="65" t="s">
        <v>7</v>
      </c>
      <c r="H58" s="66" t="s">
        <v>8</v>
      </c>
      <c r="I58" s="67" t="s">
        <v>9</v>
      </c>
      <c r="J58" s="68" t="s">
        <v>10</v>
      </c>
      <c r="K58" s="69" t="s">
        <v>11</v>
      </c>
      <c r="L58" s="70" t="s">
        <v>12</v>
      </c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spans="1:24">
      <c r="A59" s="53"/>
      <c r="B59" s="61" t="s">
        <v>3</v>
      </c>
      <c r="C59" s="71" t="s">
        <v>20</v>
      </c>
      <c r="D59" s="71" t="e">
        <f>POWER(_xlfn.SINGLE((D39 * P45)), 0.5)</f>
        <v>#VALUE!</v>
      </c>
      <c r="E59" s="71" t="e">
        <f>POWER(_xlfn.SINGLE((D39 * Q45)), 0.5)</f>
        <v>#VALUE!</v>
      </c>
      <c r="F59" s="71" t="e">
        <f>POWER(_xlfn.SINGLE((D39 * R45)), 0.5)</f>
        <v>#VALUE!</v>
      </c>
      <c r="G59" s="71" t="e">
        <f>POWER(_xlfn.SINGLE((D39 * S45)), 0.5)</f>
        <v>#VALUE!</v>
      </c>
      <c r="H59" s="71" t="e">
        <f>POWER(_xlfn.SINGLE((D39 * T45)), 0.5)</f>
        <v>#VALUE!</v>
      </c>
      <c r="I59" s="71" t="e">
        <f>POWER(_xlfn.SINGLE((D39 * U45)), 0.5)</f>
        <v>#VALUE!</v>
      </c>
      <c r="J59" s="71" t="e">
        <f>POWER(_xlfn.SINGLE((D39 * V45)), 0.5)</f>
        <v>#VALUE!</v>
      </c>
      <c r="K59" s="71" t="e">
        <f>POWER(_xlfn.SINGLE((D39 * W45)), 0.5)</f>
        <v>#VALUE!</v>
      </c>
      <c r="L59" s="71" t="e">
        <f>POWER(_xlfn.SINGLE((D39 * X45)), 0.5)</f>
        <v>#VALUE!</v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spans="1:24">
      <c r="A60" s="53"/>
      <c r="B60" s="62" t="s">
        <v>4</v>
      </c>
      <c r="C60" s="72" t="e">
        <f>POWER(_xlfn.SINGLE((D39 * O46)), 0.5)</f>
        <v>#VALUE!</v>
      </c>
      <c r="D60" s="72" t="s">
        <v>20</v>
      </c>
      <c r="E60" s="72" t="e">
        <f>POWER(_xlfn.SINGLE((D39 * Q46)), 0.5)</f>
        <v>#VALUE!</v>
      </c>
      <c r="F60" s="72" t="e">
        <f>POWER(_xlfn.SINGLE((D39 * R46)), 0.5)</f>
        <v>#VALUE!</v>
      </c>
      <c r="G60" s="72" t="e">
        <f>POWER(_xlfn.SINGLE((D39 * S46)), 0.5)</f>
        <v>#VALUE!</v>
      </c>
      <c r="H60" s="72" t="e">
        <f>POWER(_xlfn.SINGLE((D39 * T46)), 0.5)</f>
        <v>#VALUE!</v>
      </c>
      <c r="I60" s="72" t="e">
        <f>POWER(_xlfn.SINGLE((D39 * U46)), 0.5)</f>
        <v>#VALUE!</v>
      </c>
      <c r="J60" s="72" t="e">
        <f>POWER(_xlfn.SINGLE((D39 * V46)), 0.5)</f>
        <v>#VALUE!</v>
      </c>
      <c r="K60" s="72" t="e">
        <f>POWER(_xlfn.SINGLE((D39 * W46)), 0.5)</f>
        <v>#VALUE!</v>
      </c>
      <c r="L60" s="72" t="e">
        <f>POWER(_xlfn.SINGLE((D39 * X46)), 0.5)</f>
        <v>#VALUE!</v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spans="1:24">
      <c r="A61" s="53"/>
      <c r="B61" s="63" t="s">
        <v>5</v>
      </c>
      <c r="C61" s="73" t="e">
        <f>POWER(_xlfn.SINGLE((D39 * O47)), 0.5)</f>
        <v>#VALUE!</v>
      </c>
      <c r="D61" s="73" t="e">
        <f>POWER(_xlfn.SINGLE((D39 * P47)), 0.5)</f>
        <v>#VALUE!</v>
      </c>
      <c r="E61" s="73" t="s">
        <v>20</v>
      </c>
      <c r="F61" s="73" t="e">
        <f>POWER(_xlfn.SINGLE((D39 * R47)), 0.5)</f>
        <v>#VALUE!</v>
      </c>
      <c r="G61" s="73" t="e">
        <f>POWER(_xlfn.SINGLE((D39 * S47)), 0.5)</f>
        <v>#VALUE!</v>
      </c>
      <c r="H61" s="73" t="e">
        <f>POWER(_xlfn.SINGLE((D39 * T47)), 0.5)</f>
        <v>#VALUE!</v>
      </c>
      <c r="I61" s="73" t="e">
        <f>POWER(_xlfn.SINGLE((D39 * U47)), 0.5)</f>
        <v>#VALUE!</v>
      </c>
      <c r="J61" s="73" t="e">
        <f>POWER(_xlfn.SINGLE((D39 * V47)), 0.5)</f>
        <v>#VALUE!</v>
      </c>
      <c r="K61" s="73" t="e">
        <f>POWER(_xlfn.SINGLE((D39 * W47)), 0.5)</f>
        <v>#VALUE!</v>
      </c>
      <c r="L61" s="73" t="e">
        <f>POWER(_xlfn.SINGLE((D39 * X47)), 0.5)</f>
        <v>#VALUE!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spans="1:24">
      <c r="A62" s="53"/>
      <c r="B62" s="64" t="s">
        <v>6</v>
      </c>
      <c r="C62" s="74" t="e">
        <f>POWER(_xlfn.SINGLE((D39 * O48)), 0.5)</f>
        <v>#VALUE!</v>
      </c>
      <c r="D62" s="74"/>
      <c r="E62" s="74" t="e">
        <f>POWER(_xlfn.SINGLE((D39 * Q48)), 0.5)</f>
        <v>#VALUE!</v>
      </c>
      <c r="F62" s="74" t="s">
        <v>20</v>
      </c>
      <c r="G62" s="74" t="e">
        <f>POWER(_xlfn.SINGLE((D39 * S48)), 0.5)</f>
        <v>#VALUE!</v>
      </c>
      <c r="H62" s="74" t="e">
        <f>POWER(_xlfn.SINGLE((D39 * T48)), 0.5)</f>
        <v>#VALUE!</v>
      </c>
      <c r="I62" s="74" t="e">
        <f>POWER(_xlfn.SINGLE((D39 * U48)), 0.5)</f>
        <v>#VALUE!</v>
      </c>
      <c r="J62" s="74" t="e">
        <f>POWER(_xlfn.SINGLE((D39 * V48)), 0.5)</f>
        <v>#VALUE!</v>
      </c>
      <c r="K62" s="74" t="e">
        <f>POWER(_xlfn.SINGLE((D39 * W48)), 0.5)</f>
        <v>#VALUE!</v>
      </c>
      <c r="L62" s="74" t="e">
        <f>POWER(_xlfn.SINGLE((D39 * X48)), 0.5)</f>
        <v>#VALUE!</v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spans="1:24">
      <c r="A63" s="59" t="s">
        <v>55</v>
      </c>
      <c r="B63" s="65" t="s">
        <v>7</v>
      </c>
      <c r="C63" s="75" t="e">
        <f>POWER(_xlfn.SINGLE((D39 * O49)), 0.5)</f>
        <v>#VALUE!</v>
      </c>
      <c r="D63" s="75"/>
      <c r="E63" s="75" t="e">
        <f>POWER(_xlfn.SINGLE((D39 * Q49)), 0.5)</f>
        <v>#VALUE!</v>
      </c>
      <c r="F63" s="75" t="e">
        <f>POWER(_xlfn.SINGLE((D39 * R49)), 0.5)</f>
        <v>#VALUE!</v>
      </c>
      <c r="G63" s="75" t="s">
        <v>20</v>
      </c>
      <c r="H63" s="75" t="e">
        <f>POWER(_xlfn.SINGLE((D39 * T49)), 0.5)</f>
        <v>#VALUE!</v>
      </c>
      <c r="I63" s="75" t="e">
        <f>POWER(_xlfn.SINGLE((D39 * U49)), 0.5)</f>
        <v>#VALUE!</v>
      </c>
      <c r="J63" s="75" t="e">
        <f>POWER(_xlfn.SINGLE((D39 * V49)), 0.5)</f>
        <v>#VALUE!</v>
      </c>
      <c r="K63" s="75" t="e">
        <f>POWER(_xlfn.SINGLE((D39 * W49)), 0.5)</f>
        <v>#VALUE!</v>
      </c>
      <c r="L63" s="75" t="e">
        <f>POWER(_xlfn.SINGLE((D39 * X49)), 0.5)</f>
        <v>#VALUE!</v>
      </c>
      <c r="N63" s="58"/>
      <c r="O63" s="58"/>
      <c r="P63" s="58"/>
      <c r="Q63" s="58"/>
      <c r="R63" s="83"/>
      <c r="S63" s="58"/>
      <c r="T63" s="58"/>
      <c r="U63" s="58"/>
      <c r="V63" s="58"/>
      <c r="W63" s="58"/>
      <c r="X63" s="58"/>
    </row>
    <row r="64" spans="1:24">
      <c r="A64" s="53"/>
      <c r="B64" s="66" t="s">
        <v>8</v>
      </c>
      <c r="C64" s="78" t="e">
        <f>POWER(_xlfn.SINGLE((D39 * O50)), 0.5)</f>
        <v>#VALUE!</v>
      </c>
      <c r="D64" s="78"/>
      <c r="E64" s="78" t="e">
        <f>POWER(_xlfn.SINGLE((D39 * Q50)), 0.5)</f>
        <v>#VALUE!</v>
      </c>
      <c r="F64" s="78" t="e">
        <f>POWER(_xlfn.SINGLE((D39 * R50)), 0.5)</f>
        <v>#VALUE!</v>
      </c>
      <c r="G64" s="78" t="e">
        <f>POWER(_xlfn.SINGLE((D39 * S50)), 0.5)</f>
        <v>#VALUE!</v>
      </c>
      <c r="H64" s="78" t="s">
        <v>20</v>
      </c>
      <c r="I64" s="78" t="e">
        <f>POWER(_xlfn.SINGLE((D39 * U50)), 0.5)</f>
        <v>#VALUE!</v>
      </c>
      <c r="J64" s="78" t="e">
        <f>POWER(_xlfn.SINGLE((D39 * V50)), 0.5)</f>
        <v>#VALUE!</v>
      </c>
      <c r="K64" s="78" t="e">
        <f>POWER(_xlfn.SINGLE((D39 * W50)), 0.5)</f>
        <v>#VALUE!</v>
      </c>
      <c r="L64" s="78" t="e">
        <f>POWER(_xlfn.SINGLE((D39 * X50)), 0.5)</f>
        <v>#VALUE!</v>
      </c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spans="1:24">
      <c r="A65" s="53"/>
      <c r="B65" s="67" t="s">
        <v>9</v>
      </c>
      <c r="C65" s="79" t="e">
        <f>POWER(_xlfn.SINGLE((D39 * O51)), 0.5)</f>
        <v>#VALUE!</v>
      </c>
      <c r="D65" s="79"/>
      <c r="E65" s="79" t="e">
        <f>POWER(_xlfn.SINGLE((D39 * Q51)), 0.5)</f>
        <v>#VALUE!</v>
      </c>
      <c r="F65" s="79" t="e">
        <f>POWER(_xlfn.SINGLE((D39 * R51)), 0.5)</f>
        <v>#VALUE!</v>
      </c>
      <c r="G65" s="79" t="e">
        <f>POWER(_xlfn.SINGLE((D39 * S51)), 0.5)</f>
        <v>#VALUE!</v>
      </c>
      <c r="H65" s="79" t="e">
        <f>POWER(_xlfn.SINGLE((D39 * T51)), 0.5)</f>
        <v>#VALUE!</v>
      </c>
      <c r="I65" s="79" t="s">
        <v>20</v>
      </c>
      <c r="J65" s="79" t="e">
        <f>POWER(_xlfn.SINGLE((D39 * V51)), 0.5)</f>
        <v>#VALUE!</v>
      </c>
      <c r="K65" s="79" t="e">
        <f>POWER(_xlfn.SINGLE((D39 * W51)), 0.5)</f>
        <v>#VALUE!</v>
      </c>
      <c r="L65" s="79" t="e">
        <f>POWER(_xlfn.SINGLE((D39 * X51)), 0.5)</f>
        <v>#VALUE!</v>
      </c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spans="1:24">
      <c r="A66" s="53"/>
      <c r="B66" s="68" t="s">
        <v>10</v>
      </c>
      <c r="C66" s="80" t="e">
        <f>POWER(_xlfn.SINGLE((D39 * O52)), 0.5)</f>
        <v>#VALUE!</v>
      </c>
      <c r="D66" s="80"/>
      <c r="E66" s="80" t="e">
        <f>POWER(_xlfn.SINGLE((D39 * Q52)), 0.5)</f>
        <v>#VALUE!</v>
      </c>
      <c r="F66" s="80" t="e">
        <f>POWER(_xlfn.SINGLE((D39 * R52)), 0.5)</f>
        <v>#VALUE!</v>
      </c>
      <c r="G66" s="80" t="e">
        <f>POWER(_xlfn.SINGLE((D39 * S52)), 0.5)</f>
        <v>#VALUE!</v>
      </c>
      <c r="H66" s="80" t="e">
        <f>POWER(_xlfn.SINGLE((D39 * T52)), 0.5)</f>
        <v>#VALUE!</v>
      </c>
      <c r="I66" s="80" t="e">
        <f>POWER(_xlfn.SINGLE((D39 * U52)), 0.5)</f>
        <v>#VALUE!</v>
      </c>
      <c r="J66" s="80" t="s">
        <v>20</v>
      </c>
      <c r="K66" s="80" t="e">
        <f>POWER(_xlfn.SINGLE((D39 * W52)), 0.5)</f>
        <v>#VALUE!</v>
      </c>
      <c r="L66" s="80" t="e">
        <f>POWER(_xlfn.SINGLE((D39 * X52)), 0.5)</f>
        <v>#VALUE!</v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spans="1:24">
      <c r="A67" s="53"/>
      <c r="B67" s="69" t="s">
        <v>11</v>
      </c>
      <c r="C67" s="81" t="e">
        <f>POWER(_xlfn.SINGLE((D39 * O53)), 0.5)</f>
        <v>#VALUE!</v>
      </c>
      <c r="D67" s="81"/>
      <c r="E67" s="81" t="e">
        <f>POWER(_xlfn.SINGLE((D39 * Q53)), 0.5)</f>
        <v>#VALUE!</v>
      </c>
      <c r="F67" s="81" t="e">
        <f>POWER(_xlfn.SINGLE((D39 * R53)), 0.5)</f>
        <v>#VALUE!</v>
      </c>
      <c r="G67" s="81" t="e">
        <f>POWER(_xlfn.SINGLE((D39 * S53)), 0.5)</f>
        <v>#VALUE!</v>
      </c>
      <c r="H67" s="81" t="e">
        <f>POWER(_xlfn.SINGLE((D39 * T53)), 0.5)</f>
        <v>#VALUE!</v>
      </c>
      <c r="I67" s="81" t="e">
        <f>POWER(_xlfn.SINGLE((D39 * U53)), 0.5)</f>
        <v>#VALUE!</v>
      </c>
      <c r="J67" s="81" t="e">
        <f>POWER(_xlfn.SINGLE((D39 * V53)), 0.5)</f>
        <v>#VALUE!</v>
      </c>
      <c r="K67" s="81" t="s">
        <v>20</v>
      </c>
      <c r="L67" s="81" t="e">
        <f>POWER(_xlfn.SINGLE((D39 * X53)), 0.5)</f>
        <v>#VALUE!</v>
      </c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spans="1:24">
      <c r="A68" s="53"/>
      <c r="B68" s="70" t="s">
        <v>12</v>
      </c>
      <c r="C68" s="82" t="e">
        <f>POWER(_xlfn.SINGLE((D39 * O54)), 0.5)</f>
        <v>#VALUE!</v>
      </c>
      <c r="D68" s="82"/>
      <c r="E68" s="82" t="e">
        <f>POWER(_xlfn.SINGLE((D39 * Q54)), 0.5)</f>
        <v>#VALUE!</v>
      </c>
      <c r="F68" s="82" t="e">
        <f>POWER(_xlfn.SINGLE((D39 * R54)), 0.5)</f>
        <v>#VALUE!</v>
      </c>
      <c r="G68" s="82" t="e">
        <f>POWER(_xlfn.SINGLE((D39 * S54)), 0.5)</f>
        <v>#VALUE!</v>
      </c>
      <c r="H68" s="82" t="e">
        <f>POWER(_xlfn.SINGLE((D39 * T54)), 0.5)</f>
        <v>#VALUE!</v>
      </c>
      <c r="I68" s="82" t="e">
        <f>POWER(_xlfn.SINGLE((D39 * U54)), 0.5)</f>
        <v>#VALUE!</v>
      </c>
      <c r="J68" s="82" t="e">
        <f>POWER(_xlfn.SINGLE((D39 * V54)), 0.5)</f>
        <v>#VALUE!</v>
      </c>
      <c r="K68" s="82" t="e">
        <f>POWER(_xlfn.SINGLE((D39 * W54)), 0.5)</f>
        <v>#VALUE!</v>
      </c>
      <c r="L68" s="82" t="s">
        <v>20</v>
      </c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spans="1:24"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spans="1:24">
      <c r="A70" s="2" t="s">
        <v>58</v>
      </c>
    </row>
    <row r="71" spans="1:24">
      <c r="A71" s="40" t="s">
        <v>52</v>
      </c>
      <c r="B71" s="36"/>
      <c r="C71" s="36"/>
      <c r="D71" s="36"/>
      <c r="E71" s="36"/>
      <c r="F71" s="36"/>
      <c r="G71" s="40" t="s">
        <v>53</v>
      </c>
      <c r="H71" s="36"/>
      <c r="I71" s="36"/>
      <c r="J71" s="36"/>
      <c r="K71" s="36"/>
      <c r="L71" s="36"/>
    </row>
    <row r="72" spans="1:24">
      <c r="A72" s="53"/>
      <c r="B72" s="42"/>
      <c r="C72" s="61" t="s">
        <v>3</v>
      </c>
      <c r="D72" s="62" t="s">
        <v>4</v>
      </c>
      <c r="E72" s="63" t="s">
        <v>5</v>
      </c>
      <c r="F72" s="64" t="s">
        <v>6</v>
      </c>
      <c r="G72" s="65" t="s">
        <v>7</v>
      </c>
      <c r="H72" s="66" t="s">
        <v>8</v>
      </c>
      <c r="I72" s="67" t="s">
        <v>9</v>
      </c>
      <c r="J72" s="68" t="s">
        <v>10</v>
      </c>
      <c r="K72" s="69" t="s">
        <v>11</v>
      </c>
      <c r="L72" s="70" t="s">
        <v>12</v>
      </c>
    </row>
    <row r="73" spans="1:24">
      <c r="A73" s="53"/>
      <c r="B73" s="61" t="s">
        <v>3</v>
      </c>
      <c r="C73" s="71" t="s">
        <v>20</v>
      </c>
      <c r="D73" s="71" t="e">
        <f t="shared" ref="D73:L73" si="18">_xlfn.SINGLE((D45 / D59))</f>
        <v>#VALUE!</v>
      </c>
      <c r="E73" s="71" t="e">
        <f t="shared" si="18"/>
        <v>#VALUE!</v>
      </c>
      <c r="F73" s="71" t="e">
        <f t="shared" si="18"/>
        <v>#VALUE!</v>
      </c>
      <c r="G73" s="71" t="e">
        <f t="shared" si="18"/>
        <v>#VALUE!</v>
      </c>
      <c r="H73" s="71" t="e">
        <f t="shared" si="18"/>
        <v>#VALUE!</v>
      </c>
      <c r="I73" s="71" t="e">
        <f t="shared" si="18"/>
        <v>#VALUE!</v>
      </c>
      <c r="J73" s="71" t="e">
        <f t="shared" si="18"/>
        <v>#VALUE!</v>
      </c>
      <c r="K73" s="71" t="e">
        <f t="shared" si="18"/>
        <v>#VALUE!</v>
      </c>
      <c r="L73" s="71" t="e">
        <f t="shared" si="18"/>
        <v>#VALUE!</v>
      </c>
    </row>
    <row r="74" spans="1:24">
      <c r="A74" s="53"/>
      <c r="B74" s="62" t="s">
        <v>4</v>
      </c>
      <c r="C74" s="72" t="e">
        <f t="shared" ref="C74:C82" si="19">_xlfn.SINGLE((C46 / C60))</f>
        <v>#VALUE!</v>
      </c>
      <c r="D74" s="72" t="s">
        <v>20</v>
      </c>
      <c r="E74" s="72" t="e">
        <f t="shared" ref="E74:L74" si="20">_xlfn.SINGLE((E46 / E60))</f>
        <v>#VALUE!</v>
      </c>
      <c r="F74" s="72" t="e">
        <f t="shared" si="20"/>
        <v>#VALUE!</v>
      </c>
      <c r="G74" s="72" t="e">
        <f t="shared" si="20"/>
        <v>#VALUE!</v>
      </c>
      <c r="H74" s="72" t="e">
        <f t="shared" si="20"/>
        <v>#VALUE!</v>
      </c>
      <c r="I74" s="72" t="e">
        <f t="shared" si="20"/>
        <v>#VALUE!</v>
      </c>
      <c r="J74" s="72" t="e">
        <f t="shared" si="20"/>
        <v>#VALUE!</v>
      </c>
      <c r="K74" s="72" t="e">
        <f t="shared" si="20"/>
        <v>#VALUE!</v>
      </c>
      <c r="L74" s="72" t="e">
        <f t="shared" si="20"/>
        <v>#VALUE!</v>
      </c>
    </row>
    <row r="75" spans="1:24">
      <c r="A75" s="53"/>
      <c r="B75" s="63" t="s">
        <v>5</v>
      </c>
      <c r="C75" s="73" t="e">
        <f t="shared" si="19"/>
        <v>#VALUE!</v>
      </c>
      <c r="D75" s="73" t="e">
        <f t="shared" ref="D75:D82" si="21">_xlfn.SINGLE((D47 / D61))</f>
        <v>#VALUE!</v>
      </c>
      <c r="E75" s="73" t="s">
        <v>20</v>
      </c>
      <c r="F75" s="73" t="e">
        <f t="shared" ref="F75:L75" si="22">_xlfn.SINGLE((F47 / F61))</f>
        <v>#VALUE!</v>
      </c>
      <c r="G75" s="73" t="e">
        <f t="shared" si="22"/>
        <v>#VALUE!</v>
      </c>
      <c r="H75" s="73" t="e">
        <f t="shared" si="22"/>
        <v>#VALUE!</v>
      </c>
      <c r="I75" s="73" t="e">
        <f t="shared" si="22"/>
        <v>#VALUE!</v>
      </c>
      <c r="J75" s="73" t="e">
        <f t="shared" si="22"/>
        <v>#VALUE!</v>
      </c>
      <c r="K75" s="73" t="e">
        <f t="shared" si="22"/>
        <v>#VALUE!</v>
      </c>
      <c r="L75" s="73" t="e">
        <f t="shared" si="22"/>
        <v>#VALUE!</v>
      </c>
    </row>
    <row r="76" spans="1:24">
      <c r="A76" s="53"/>
      <c r="B76" s="64" t="s">
        <v>6</v>
      </c>
      <c r="C76" s="74" t="e">
        <f t="shared" si="19"/>
        <v>#VALUE!</v>
      </c>
      <c r="D76" s="74" t="e">
        <f t="shared" si="21"/>
        <v>#VALUE!</v>
      </c>
      <c r="E76" s="74" t="e">
        <f t="shared" ref="E76:E82" si="23">_xlfn.SINGLE((E48 / E62))</f>
        <v>#VALUE!</v>
      </c>
      <c r="F76" s="74" t="s">
        <v>20</v>
      </c>
      <c r="G76" s="74" t="e">
        <f t="shared" ref="G76:L76" si="24">_xlfn.SINGLE((G48 / G62))</f>
        <v>#VALUE!</v>
      </c>
      <c r="H76" s="74" t="e">
        <f t="shared" si="24"/>
        <v>#VALUE!</v>
      </c>
      <c r="I76" s="74" t="e">
        <f t="shared" si="24"/>
        <v>#VALUE!</v>
      </c>
      <c r="J76" s="74" t="e">
        <f t="shared" si="24"/>
        <v>#VALUE!</v>
      </c>
      <c r="K76" s="74" t="e">
        <f t="shared" si="24"/>
        <v>#VALUE!</v>
      </c>
      <c r="L76" s="74" t="e">
        <f t="shared" si="24"/>
        <v>#VALUE!</v>
      </c>
    </row>
    <row r="77" spans="1:24">
      <c r="A77" s="59" t="s">
        <v>55</v>
      </c>
      <c r="B77" s="65" t="s">
        <v>7</v>
      </c>
      <c r="C77" s="75" t="e">
        <f t="shared" si="19"/>
        <v>#VALUE!</v>
      </c>
      <c r="D77" s="75" t="e">
        <f t="shared" si="21"/>
        <v>#VALUE!</v>
      </c>
      <c r="E77" s="75" t="e">
        <f t="shared" si="23"/>
        <v>#VALUE!</v>
      </c>
      <c r="F77" s="75" t="e">
        <f t="shared" ref="F77:F82" si="25">_xlfn.SINGLE((F49 / F63))</f>
        <v>#VALUE!</v>
      </c>
      <c r="G77" s="75" t="s">
        <v>20</v>
      </c>
      <c r="H77" s="75" t="e">
        <f t="shared" ref="H77:L77" si="26">_xlfn.SINGLE((H49 / H63))</f>
        <v>#VALUE!</v>
      </c>
      <c r="I77" s="75" t="e">
        <f t="shared" si="26"/>
        <v>#VALUE!</v>
      </c>
      <c r="J77" s="75" t="e">
        <f t="shared" si="26"/>
        <v>#VALUE!</v>
      </c>
      <c r="K77" s="75" t="e">
        <f t="shared" si="26"/>
        <v>#VALUE!</v>
      </c>
      <c r="L77" s="75" t="e">
        <f t="shared" si="26"/>
        <v>#VALUE!</v>
      </c>
    </row>
    <row r="78" spans="1:24">
      <c r="A78" s="53"/>
      <c r="B78" s="66" t="s">
        <v>8</v>
      </c>
      <c r="C78" s="78" t="e">
        <f t="shared" si="19"/>
        <v>#VALUE!</v>
      </c>
      <c r="D78" s="78" t="e">
        <f t="shared" si="21"/>
        <v>#VALUE!</v>
      </c>
      <c r="E78" s="78" t="e">
        <f t="shared" si="23"/>
        <v>#VALUE!</v>
      </c>
      <c r="F78" s="78" t="e">
        <f t="shared" si="25"/>
        <v>#VALUE!</v>
      </c>
      <c r="G78" s="78" t="e">
        <f t="shared" ref="G78:G82" si="27">_xlfn.SINGLE((G50 / G64))</f>
        <v>#VALUE!</v>
      </c>
      <c r="H78" s="78" t="s">
        <v>20</v>
      </c>
      <c r="I78" s="78" t="e">
        <f t="shared" ref="I78:L78" si="28">_xlfn.SINGLE((I50 / I64))</f>
        <v>#VALUE!</v>
      </c>
      <c r="J78" s="78" t="e">
        <f t="shared" si="28"/>
        <v>#VALUE!</v>
      </c>
      <c r="K78" s="78" t="e">
        <f t="shared" si="28"/>
        <v>#VALUE!</v>
      </c>
      <c r="L78" s="78" t="e">
        <f t="shared" si="28"/>
        <v>#VALUE!</v>
      </c>
    </row>
    <row r="79" spans="1:24">
      <c r="A79" s="53"/>
      <c r="B79" s="67" t="s">
        <v>9</v>
      </c>
      <c r="C79" s="79" t="e">
        <f t="shared" si="19"/>
        <v>#VALUE!</v>
      </c>
      <c r="D79" s="79" t="e">
        <f t="shared" si="21"/>
        <v>#VALUE!</v>
      </c>
      <c r="E79" s="79" t="e">
        <f t="shared" si="23"/>
        <v>#VALUE!</v>
      </c>
      <c r="F79" s="79" t="e">
        <f t="shared" si="25"/>
        <v>#VALUE!</v>
      </c>
      <c r="G79" s="79" t="e">
        <f t="shared" si="27"/>
        <v>#VALUE!</v>
      </c>
      <c r="H79" s="79" t="e">
        <f t="shared" ref="H79:H82" si="29">_xlfn.SINGLE((H51 / H65))</f>
        <v>#VALUE!</v>
      </c>
      <c r="I79" s="79" t="s">
        <v>20</v>
      </c>
      <c r="J79" s="79" t="e">
        <f t="shared" ref="J79:L79" si="30">_xlfn.SINGLE((J51 / J65))</f>
        <v>#VALUE!</v>
      </c>
      <c r="K79" s="79" t="e">
        <f t="shared" si="30"/>
        <v>#VALUE!</v>
      </c>
      <c r="L79" s="79" t="e">
        <f t="shared" si="30"/>
        <v>#VALUE!</v>
      </c>
    </row>
    <row r="80" spans="1:24">
      <c r="A80" s="53"/>
      <c r="B80" s="68" t="s">
        <v>10</v>
      </c>
      <c r="C80" s="80" t="e">
        <f t="shared" si="19"/>
        <v>#VALUE!</v>
      </c>
      <c r="D80" s="80" t="e">
        <f t="shared" si="21"/>
        <v>#VALUE!</v>
      </c>
      <c r="E80" s="80" t="e">
        <f t="shared" si="23"/>
        <v>#VALUE!</v>
      </c>
      <c r="F80" s="80" t="e">
        <f t="shared" si="25"/>
        <v>#VALUE!</v>
      </c>
      <c r="G80" s="80" t="e">
        <f t="shared" si="27"/>
        <v>#VALUE!</v>
      </c>
      <c r="H80" s="80" t="e">
        <f t="shared" si="29"/>
        <v>#VALUE!</v>
      </c>
      <c r="I80" s="80" t="e">
        <f t="shared" ref="I80:I82" si="31">_xlfn.SINGLE((I52 / I66))</f>
        <v>#VALUE!</v>
      </c>
      <c r="J80" s="80" t="s">
        <v>20</v>
      </c>
      <c r="K80" s="80" t="e">
        <f t="shared" ref="K80:L80" si="32">_xlfn.SINGLE((K52 / K66))</f>
        <v>#VALUE!</v>
      </c>
      <c r="L80" s="80" t="e">
        <f t="shared" si="32"/>
        <v>#VALUE!</v>
      </c>
    </row>
    <row r="81" spans="1:26">
      <c r="A81" s="53"/>
      <c r="B81" s="69" t="s">
        <v>11</v>
      </c>
      <c r="C81" s="81" t="e">
        <f t="shared" si="19"/>
        <v>#VALUE!</v>
      </c>
      <c r="D81" s="81" t="e">
        <f t="shared" si="21"/>
        <v>#VALUE!</v>
      </c>
      <c r="E81" s="81" t="e">
        <f t="shared" si="23"/>
        <v>#VALUE!</v>
      </c>
      <c r="F81" s="81" t="e">
        <f t="shared" si="25"/>
        <v>#VALUE!</v>
      </c>
      <c r="G81" s="81" t="e">
        <f t="shared" si="27"/>
        <v>#VALUE!</v>
      </c>
      <c r="H81" s="81" t="e">
        <f t="shared" si="29"/>
        <v>#VALUE!</v>
      </c>
      <c r="I81" s="81" t="e">
        <f t="shared" si="31"/>
        <v>#VALUE!</v>
      </c>
      <c r="J81" s="81" t="e">
        <f t="shared" ref="J81:J82" si="33">_xlfn.SINGLE((J53 / J67))</f>
        <v>#VALUE!</v>
      </c>
      <c r="K81" s="81" t="s">
        <v>20</v>
      </c>
      <c r="L81" s="81" t="e">
        <f>_xlfn.SINGLE((L53 / L67))</f>
        <v>#VALUE!</v>
      </c>
    </row>
    <row r="82" spans="1:26">
      <c r="A82" s="53"/>
      <c r="B82" s="70" t="s">
        <v>12</v>
      </c>
      <c r="C82" s="82" t="e">
        <f t="shared" si="19"/>
        <v>#VALUE!</v>
      </c>
      <c r="D82" s="82" t="e">
        <f t="shared" si="21"/>
        <v>#VALUE!</v>
      </c>
      <c r="E82" s="82" t="e">
        <f t="shared" si="23"/>
        <v>#VALUE!</v>
      </c>
      <c r="F82" s="82" t="e">
        <f t="shared" si="25"/>
        <v>#VALUE!</v>
      </c>
      <c r="G82" s="82" t="e">
        <f t="shared" si="27"/>
        <v>#VALUE!</v>
      </c>
      <c r="H82" s="82" t="e">
        <f t="shared" si="29"/>
        <v>#VALUE!</v>
      </c>
      <c r="I82" s="82" t="e">
        <f t="shared" si="31"/>
        <v>#VALUE!</v>
      </c>
      <c r="J82" s="82" t="e">
        <f t="shared" si="33"/>
        <v>#VALUE!</v>
      </c>
      <c r="K82" s="82" t="e">
        <f>_xlfn.SINGLE((K54 / K68))</f>
        <v>#VALUE!</v>
      </c>
      <c r="L82" s="82" t="s">
        <v>20</v>
      </c>
    </row>
    <row r="84" spans="1:26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>
      <c r="A85" s="2" t="s">
        <v>59</v>
      </c>
    </row>
    <row r="86" spans="1:26">
      <c r="A86" s="54" t="s">
        <v>45</v>
      </c>
      <c r="B86" s="55" t="s">
        <v>46</v>
      </c>
      <c r="C86" s="56" t="s">
        <v>47</v>
      </c>
      <c r="D86" s="57" t="s">
        <v>48</v>
      </c>
      <c r="E86" s="51" t="s">
        <v>8</v>
      </c>
    </row>
    <row r="87" spans="1:26">
      <c r="A87" s="55" t="s">
        <v>49</v>
      </c>
      <c r="B87" s="85">
        <v>4</v>
      </c>
      <c r="C87" s="86">
        <v>3</v>
      </c>
      <c r="D87" s="17">
        <f t="shared" ref="D87:D88" si="34">_xlfn.SINGLE((C87 / B87))</f>
        <v>0.75</v>
      </c>
      <c r="E87" s="18">
        <f>_xlfn.SINGLE((D87 / D88))</f>
        <v>0.375</v>
      </c>
    </row>
    <row r="88" spans="1:26">
      <c r="A88" s="56" t="s">
        <v>50</v>
      </c>
      <c r="B88" s="87">
        <v>2</v>
      </c>
      <c r="C88" s="88">
        <v>4</v>
      </c>
      <c r="D88" s="17">
        <f t="shared" si="34"/>
        <v>2</v>
      </c>
      <c r="E88" s="18"/>
    </row>
    <row r="89" spans="1:26">
      <c r="A89" s="57" t="s">
        <v>13</v>
      </c>
      <c r="B89" s="17">
        <f t="shared" ref="B89:D89" si="35">SUM(B87,B88)</f>
        <v>6</v>
      </c>
      <c r="C89" s="17">
        <f t="shared" si="35"/>
        <v>7</v>
      </c>
      <c r="D89" s="17">
        <f t="shared" si="35"/>
        <v>2.75</v>
      </c>
      <c r="E89" s="18"/>
    </row>
    <row r="91" spans="1:26">
      <c r="A91" s="2" t="s">
        <v>60</v>
      </c>
    </row>
    <row r="92" spans="1:26">
      <c r="A92" s="43" t="s">
        <v>61</v>
      </c>
      <c r="B92" s="44">
        <f>SUM(B87,1)</f>
        <v>5</v>
      </c>
    </row>
    <row r="93" spans="1:26">
      <c r="A93" s="45" t="s">
        <v>62</v>
      </c>
      <c r="B93" s="46">
        <f>SUM(B89,1)</f>
        <v>7</v>
      </c>
    </row>
    <row r="94" spans="1:26">
      <c r="A94" s="89" t="s">
        <v>63</v>
      </c>
      <c r="B94" s="90">
        <v>3</v>
      </c>
      <c r="C94" s="53"/>
      <c r="D94" s="36"/>
    </row>
    <row r="95" spans="1:26">
      <c r="A95" s="91" t="s">
        <v>64</v>
      </c>
      <c r="B95" s="92">
        <v>2</v>
      </c>
      <c r="C95" s="53"/>
      <c r="D95" s="36"/>
    </row>
    <row r="96" spans="1:26">
      <c r="A96" s="93" t="s">
        <v>65</v>
      </c>
      <c r="B96" s="94">
        <v>4</v>
      </c>
      <c r="C96" s="53"/>
    </row>
    <row r="97" spans="1:3">
      <c r="A97" s="95" t="s">
        <v>66</v>
      </c>
      <c r="B97" s="96">
        <v>1</v>
      </c>
      <c r="C97" s="53"/>
    </row>
    <row r="99" spans="1:3">
      <c r="A99" s="2" t="s">
        <v>67</v>
      </c>
    </row>
    <row r="100" spans="1:3">
      <c r="A100" s="54" t="s">
        <v>68</v>
      </c>
      <c r="B100" s="14">
        <f>SUM(POWER(B94,-1),POWER(B95,-1))</f>
        <v>0.83333333333333326</v>
      </c>
    </row>
    <row r="101" spans="1:3">
      <c r="A101" s="55" t="s">
        <v>69</v>
      </c>
      <c r="B101" s="15">
        <f>B96-B97</f>
        <v>3</v>
      </c>
    </row>
    <row r="102" spans="1:3">
      <c r="A102" s="56" t="s">
        <v>70</v>
      </c>
      <c r="B102" s="38">
        <f>POWER(_xlfn.SINGLE((B100 * D88)), 0.5)</f>
        <v>1.2909944487358056</v>
      </c>
    </row>
    <row r="103" spans="1:3">
      <c r="A103" s="57" t="s">
        <v>71</v>
      </c>
      <c r="B103" s="17">
        <f>_xlfn.SINGLE((B101 / B102))</f>
        <v>2.3237900077244502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53"/>
  <sheetViews>
    <sheetView workbookViewId="0"/>
  </sheetViews>
  <sheetFormatPr defaultColWidth="12.5703125" defaultRowHeight="15.75" customHeight="1"/>
  <sheetData>
    <row r="1" spans="1:23">
      <c r="A1" s="1" t="s">
        <v>72</v>
      </c>
    </row>
    <row r="3" spans="1:23">
      <c r="A3" s="2" t="s">
        <v>73</v>
      </c>
      <c r="B3" s="36"/>
      <c r="C3" s="36"/>
      <c r="D3" s="36"/>
      <c r="E3" s="36"/>
      <c r="F3" s="36"/>
    </row>
    <row r="4" spans="1:23">
      <c r="A4" s="97" t="s">
        <v>74</v>
      </c>
      <c r="B4" s="98" t="s">
        <v>75</v>
      </c>
      <c r="C4" s="99" t="s">
        <v>76</v>
      </c>
      <c r="D4" s="6" t="s">
        <v>77</v>
      </c>
      <c r="E4" s="36"/>
      <c r="F4" s="36"/>
    </row>
    <row r="5" spans="1:23">
      <c r="A5" s="100">
        <v>1</v>
      </c>
      <c r="B5" s="101">
        <v>2</v>
      </c>
      <c r="C5" s="88">
        <v>3</v>
      </c>
      <c r="D5" s="17">
        <f>SUM(A5, (B5 * C5))</f>
        <v>7</v>
      </c>
      <c r="E5" s="36"/>
      <c r="F5" s="36"/>
    </row>
    <row r="6" spans="1:23">
      <c r="B6" s="36"/>
      <c r="C6" s="36"/>
      <c r="D6" s="36"/>
      <c r="E6" s="36"/>
      <c r="F6" s="36"/>
    </row>
    <row r="7" spans="1:23">
      <c r="A7" s="2" t="s">
        <v>78</v>
      </c>
      <c r="B7" s="36"/>
      <c r="C7" s="36"/>
      <c r="D7" s="36"/>
      <c r="E7" s="36"/>
      <c r="F7" s="36"/>
      <c r="M7" s="2" t="s">
        <v>79</v>
      </c>
    </row>
    <row r="8" spans="1:23">
      <c r="B8" s="3" t="s">
        <v>3</v>
      </c>
      <c r="C8" s="4" t="s">
        <v>4</v>
      </c>
      <c r="D8" s="5" t="s">
        <v>5</v>
      </c>
      <c r="E8" s="6" t="s">
        <v>6</v>
      </c>
      <c r="F8" s="7" t="s">
        <v>7</v>
      </c>
      <c r="G8" s="8" t="s">
        <v>8</v>
      </c>
      <c r="H8" s="9" t="s">
        <v>9</v>
      </c>
      <c r="I8" s="10" t="s">
        <v>10</v>
      </c>
      <c r="J8" s="11" t="s">
        <v>11</v>
      </c>
      <c r="K8" s="12" t="s">
        <v>12</v>
      </c>
      <c r="N8" s="3" t="s">
        <v>3</v>
      </c>
      <c r="O8" s="4" t="s">
        <v>4</v>
      </c>
      <c r="P8" s="5" t="s">
        <v>5</v>
      </c>
      <c r="Q8" s="6" t="s">
        <v>6</v>
      </c>
      <c r="R8" s="7" t="s">
        <v>7</v>
      </c>
      <c r="S8" s="8" t="s">
        <v>8</v>
      </c>
      <c r="T8" s="9" t="s">
        <v>9</v>
      </c>
      <c r="U8" s="10" t="s">
        <v>10</v>
      </c>
      <c r="V8" s="11" t="s">
        <v>11</v>
      </c>
      <c r="W8" s="12" t="s">
        <v>12</v>
      </c>
    </row>
    <row r="9" spans="1:23">
      <c r="A9" s="3">
        <v>1</v>
      </c>
      <c r="B9" s="14">
        <v>1</v>
      </c>
      <c r="C9" s="15"/>
      <c r="D9" s="16"/>
      <c r="E9" s="17"/>
      <c r="F9" s="18"/>
      <c r="G9" s="19"/>
      <c r="H9" s="20"/>
      <c r="I9" s="21"/>
      <c r="J9" s="22"/>
      <c r="K9" s="23"/>
      <c r="M9" s="3">
        <v>1</v>
      </c>
      <c r="N9" s="14">
        <f>POWER(B22-E45,2)</f>
        <v>1</v>
      </c>
      <c r="O9" s="15"/>
      <c r="P9" s="16"/>
      <c r="Q9" s="17"/>
      <c r="R9" s="18"/>
      <c r="S9" s="19"/>
      <c r="T9" s="20"/>
      <c r="U9" s="21"/>
      <c r="V9" s="22"/>
      <c r="W9" s="23"/>
    </row>
    <row r="10" spans="1:23">
      <c r="A10" s="4">
        <v>2</v>
      </c>
      <c r="B10" s="15"/>
      <c r="C10" s="15"/>
      <c r="D10" s="16"/>
      <c r="E10" s="17"/>
      <c r="F10" s="18"/>
      <c r="G10" s="19"/>
      <c r="H10" s="20"/>
      <c r="I10" s="21"/>
      <c r="J10" s="22"/>
      <c r="K10" s="23"/>
      <c r="M10" s="4">
        <v>2</v>
      </c>
      <c r="N10" s="15"/>
      <c r="O10" s="15"/>
      <c r="P10" s="16"/>
      <c r="Q10" s="17"/>
      <c r="R10" s="18"/>
      <c r="S10" s="19"/>
      <c r="T10" s="20"/>
      <c r="U10" s="21"/>
      <c r="V10" s="22"/>
      <c r="W10" s="23"/>
    </row>
    <row r="11" spans="1:23">
      <c r="A11" s="5">
        <v>3</v>
      </c>
      <c r="B11" s="16"/>
      <c r="C11" s="16"/>
      <c r="D11" s="16"/>
      <c r="E11" s="17"/>
      <c r="F11" s="18"/>
      <c r="G11" s="19"/>
      <c r="H11" s="20"/>
      <c r="I11" s="21"/>
      <c r="J11" s="22"/>
      <c r="K11" s="23"/>
      <c r="M11" s="5">
        <v>3</v>
      </c>
      <c r="N11" s="16"/>
      <c r="O11" s="16"/>
      <c r="P11" s="16"/>
      <c r="Q11" s="17"/>
      <c r="R11" s="18"/>
      <c r="S11" s="19"/>
      <c r="T11" s="20"/>
      <c r="U11" s="21"/>
      <c r="V11" s="22"/>
      <c r="W11" s="23"/>
    </row>
    <row r="12" spans="1:23">
      <c r="A12" s="6">
        <v>4</v>
      </c>
      <c r="B12" s="17"/>
      <c r="C12" s="17"/>
      <c r="D12" s="17"/>
      <c r="E12" s="17"/>
      <c r="F12" s="18"/>
      <c r="G12" s="19"/>
      <c r="H12" s="20"/>
      <c r="I12" s="21"/>
      <c r="J12" s="22"/>
      <c r="K12" s="23"/>
      <c r="M12" s="6">
        <v>4</v>
      </c>
      <c r="N12" s="17"/>
      <c r="O12" s="17"/>
      <c r="P12" s="17"/>
      <c r="Q12" s="17"/>
      <c r="R12" s="18"/>
      <c r="S12" s="19"/>
      <c r="T12" s="20"/>
      <c r="U12" s="21"/>
      <c r="V12" s="22"/>
      <c r="W12" s="23"/>
    </row>
    <row r="13" spans="1:23">
      <c r="A13" s="7">
        <v>5</v>
      </c>
      <c r="B13" s="18"/>
      <c r="C13" s="18"/>
      <c r="D13" s="18"/>
      <c r="E13" s="18"/>
      <c r="F13" s="18"/>
      <c r="G13" s="19"/>
      <c r="H13" s="20"/>
      <c r="I13" s="21"/>
      <c r="J13" s="22"/>
      <c r="K13" s="23"/>
      <c r="M13" s="7">
        <v>5</v>
      </c>
      <c r="N13" s="18"/>
      <c r="O13" s="18"/>
      <c r="P13" s="18"/>
      <c r="Q13" s="18"/>
      <c r="R13" s="18"/>
      <c r="S13" s="19"/>
      <c r="T13" s="20"/>
      <c r="U13" s="21"/>
      <c r="V13" s="22"/>
      <c r="W13" s="23"/>
    </row>
    <row r="14" spans="1:23">
      <c r="A14" s="8">
        <v>6</v>
      </c>
      <c r="B14" s="19"/>
      <c r="C14" s="19"/>
      <c r="D14" s="19"/>
      <c r="E14" s="19"/>
      <c r="F14" s="19"/>
      <c r="G14" s="19"/>
      <c r="H14" s="20"/>
      <c r="I14" s="21"/>
      <c r="J14" s="22"/>
      <c r="K14" s="23"/>
      <c r="M14" s="8">
        <v>6</v>
      </c>
      <c r="N14" s="19"/>
      <c r="O14" s="19"/>
      <c r="P14" s="19"/>
      <c r="Q14" s="19"/>
      <c r="R14" s="19"/>
      <c r="S14" s="19"/>
      <c r="T14" s="20"/>
      <c r="U14" s="21"/>
      <c r="V14" s="22"/>
      <c r="W14" s="23"/>
    </row>
    <row r="15" spans="1:23">
      <c r="A15" s="9">
        <v>7</v>
      </c>
      <c r="B15" s="20"/>
      <c r="C15" s="20"/>
      <c r="D15" s="20"/>
      <c r="E15" s="20"/>
      <c r="F15" s="20"/>
      <c r="G15" s="20"/>
      <c r="H15" s="20"/>
      <c r="I15" s="21"/>
      <c r="J15" s="22"/>
      <c r="K15" s="23"/>
      <c r="M15" s="9">
        <v>7</v>
      </c>
      <c r="N15" s="20"/>
      <c r="O15" s="20"/>
      <c r="P15" s="20"/>
      <c r="Q15" s="20"/>
      <c r="R15" s="20"/>
      <c r="S15" s="20"/>
      <c r="T15" s="20"/>
      <c r="U15" s="21"/>
      <c r="V15" s="22"/>
      <c r="W15" s="23"/>
    </row>
    <row r="16" spans="1:23">
      <c r="A16" s="10">
        <v>8</v>
      </c>
      <c r="B16" s="21"/>
      <c r="C16" s="21"/>
      <c r="D16" s="21"/>
      <c r="E16" s="21"/>
      <c r="F16" s="21"/>
      <c r="G16" s="21"/>
      <c r="H16" s="21"/>
      <c r="I16" s="21"/>
      <c r="J16" s="22"/>
      <c r="K16" s="23"/>
      <c r="M16" s="10">
        <v>8</v>
      </c>
      <c r="N16" s="21"/>
      <c r="O16" s="21"/>
      <c r="P16" s="21"/>
      <c r="Q16" s="21"/>
      <c r="R16" s="21"/>
      <c r="S16" s="21"/>
      <c r="T16" s="21"/>
      <c r="U16" s="21"/>
      <c r="V16" s="22"/>
      <c r="W16" s="23"/>
    </row>
    <row r="17" spans="1:23">
      <c r="A17" s="11">
        <v>9</v>
      </c>
      <c r="B17" s="22"/>
      <c r="C17" s="22"/>
      <c r="D17" s="22"/>
      <c r="E17" s="22"/>
      <c r="F17" s="22"/>
      <c r="G17" s="22"/>
      <c r="H17" s="22"/>
      <c r="I17" s="22"/>
      <c r="J17" s="22"/>
      <c r="K17" s="23"/>
      <c r="M17" s="11">
        <v>9</v>
      </c>
      <c r="N17" s="22"/>
      <c r="O17" s="22"/>
      <c r="P17" s="22"/>
      <c r="Q17" s="22"/>
      <c r="R17" s="22"/>
      <c r="S17" s="22"/>
      <c r="T17" s="22"/>
      <c r="U17" s="22"/>
      <c r="V17" s="22"/>
      <c r="W17" s="23"/>
    </row>
    <row r="18" spans="1:23">
      <c r="A18" s="12">
        <v>10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M18" s="12">
        <v>10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B19" s="36"/>
      <c r="C19" s="36"/>
      <c r="D19" s="36"/>
      <c r="E19" s="36"/>
      <c r="F19" s="36"/>
    </row>
    <row r="20" spans="1:23">
      <c r="A20" s="2" t="s">
        <v>80</v>
      </c>
      <c r="B20" s="36"/>
      <c r="C20" s="36"/>
      <c r="D20" s="36"/>
      <c r="E20" s="36"/>
      <c r="F20" s="36"/>
      <c r="M20" s="2" t="s">
        <v>81</v>
      </c>
    </row>
    <row r="21" spans="1:23">
      <c r="B21" s="3" t="s">
        <v>3</v>
      </c>
      <c r="C21" s="4" t="s">
        <v>4</v>
      </c>
      <c r="D21" s="5" t="s">
        <v>5</v>
      </c>
      <c r="E21" s="6" t="s">
        <v>6</v>
      </c>
      <c r="F21" s="7" t="s">
        <v>7</v>
      </c>
      <c r="G21" s="8" t="s">
        <v>8</v>
      </c>
      <c r="H21" s="9" t="s">
        <v>9</v>
      </c>
      <c r="I21" s="10" t="s">
        <v>10</v>
      </c>
      <c r="J21" s="11" t="s">
        <v>11</v>
      </c>
      <c r="K21" s="12" t="s">
        <v>12</v>
      </c>
      <c r="N21" s="3" t="s">
        <v>3</v>
      </c>
      <c r="O21" s="4" t="s">
        <v>4</v>
      </c>
      <c r="P21" s="5" t="s">
        <v>5</v>
      </c>
      <c r="Q21" s="6" t="s">
        <v>6</v>
      </c>
      <c r="R21" s="7" t="s">
        <v>7</v>
      </c>
      <c r="S21" s="8" t="s">
        <v>8</v>
      </c>
      <c r="T21" s="9" t="s">
        <v>9</v>
      </c>
      <c r="U21" s="10" t="s">
        <v>10</v>
      </c>
      <c r="V21" s="11" t="s">
        <v>11</v>
      </c>
      <c r="W21" s="12" t="s">
        <v>12</v>
      </c>
    </row>
    <row r="22" spans="1:23">
      <c r="A22" s="3">
        <v>1</v>
      </c>
      <c r="B22" s="14">
        <f>(SUM(A5, (B5 * B9)))</f>
        <v>3</v>
      </c>
      <c r="C22" s="15"/>
      <c r="D22" s="16"/>
      <c r="E22" s="17"/>
      <c r="F22" s="18"/>
      <c r="G22" s="19"/>
      <c r="H22" s="20"/>
      <c r="I22" s="21"/>
      <c r="J22" s="22"/>
      <c r="K22" s="23"/>
      <c r="M22" s="3">
        <v>1</v>
      </c>
      <c r="N22" s="14">
        <f>POWER(B35-B22,2)</f>
        <v>1</v>
      </c>
      <c r="O22" s="15"/>
      <c r="P22" s="16"/>
      <c r="Q22" s="17"/>
      <c r="R22" s="18"/>
      <c r="S22" s="19"/>
      <c r="T22" s="20"/>
      <c r="U22" s="21"/>
      <c r="V22" s="22"/>
      <c r="W22" s="23"/>
    </row>
    <row r="23" spans="1:23">
      <c r="A23" s="4">
        <v>2</v>
      </c>
      <c r="B23" s="15"/>
      <c r="C23" s="15"/>
      <c r="D23" s="16"/>
      <c r="E23" s="17"/>
      <c r="F23" s="18"/>
      <c r="G23" s="19"/>
      <c r="H23" s="20"/>
      <c r="I23" s="21"/>
      <c r="J23" s="22"/>
      <c r="K23" s="23"/>
      <c r="M23" s="4">
        <v>2</v>
      </c>
      <c r="N23" s="15"/>
      <c r="O23" s="15"/>
      <c r="P23" s="16"/>
      <c r="Q23" s="17"/>
      <c r="R23" s="18"/>
      <c r="S23" s="19"/>
      <c r="T23" s="20"/>
      <c r="U23" s="21"/>
      <c r="V23" s="22"/>
      <c r="W23" s="23"/>
    </row>
    <row r="24" spans="1:23">
      <c r="A24" s="5">
        <v>3</v>
      </c>
      <c r="B24" s="16"/>
      <c r="C24" s="16"/>
      <c r="D24" s="16"/>
      <c r="E24" s="17"/>
      <c r="F24" s="18"/>
      <c r="G24" s="19"/>
      <c r="H24" s="20"/>
      <c r="I24" s="21"/>
      <c r="J24" s="22"/>
      <c r="K24" s="23"/>
      <c r="M24" s="5">
        <v>3</v>
      </c>
      <c r="N24" s="16"/>
      <c r="O24" s="16"/>
      <c r="P24" s="16"/>
      <c r="Q24" s="17"/>
      <c r="R24" s="18"/>
      <c r="S24" s="19"/>
      <c r="T24" s="20"/>
      <c r="U24" s="21"/>
      <c r="V24" s="22"/>
      <c r="W24" s="23"/>
    </row>
    <row r="25" spans="1:23">
      <c r="A25" s="6">
        <v>4</v>
      </c>
      <c r="B25" s="17"/>
      <c r="C25" s="17"/>
      <c r="D25" s="17"/>
      <c r="E25" s="17"/>
      <c r="F25" s="18"/>
      <c r="G25" s="19"/>
      <c r="H25" s="20"/>
      <c r="I25" s="21"/>
      <c r="J25" s="22"/>
      <c r="K25" s="23"/>
      <c r="M25" s="6">
        <v>4</v>
      </c>
      <c r="N25" s="17"/>
      <c r="O25" s="17"/>
      <c r="P25" s="17"/>
      <c r="Q25" s="17"/>
      <c r="R25" s="18"/>
      <c r="S25" s="19"/>
      <c r="T25" s="20"/>
      <c r="U25" s="21"/>
      <c r="V25" s="22"/>
      <c r="W25" s="23"/>
    </row>
    <row r="26" spans="1:23">
      <c r="A26" s="7">
        <v>5</v>
      </c>
      <c r="B26" s="18"/>
      <c r="C26" s="18"/>
      <c r="D26" s="18"/>
      <c r="E26" s="18"/>
      <c r="F26" s="18"/>
      <c r="G26" s="19"/>
      <c r="H26" s="20"/>
      <c r="I26" s="21"/>
      <c r="J26" s="22"/>
      <c r="K26" s="23"/>
      <c r="M26" s="7">
        <v>5</v>
      </c>
      <c r="N26" s="18"/>
      <c r="O26" s="18"/>
      <c r="P26" s="18"/>
      <c r="Q26" s="18"/>
      <c r="R26" s="18"/>
      <c r="S26" s="19"/>
      <c r="T26" s="20"/>
      <c r="U26" s="21"/>
      <c r="V26" s="22"/>
      <c r="W26" s="23"/>
    </row>
    <row r="27" spans="1:23">
      <c r="A27" s="8">
        <v>6</v>
      </c>
      <c r="B27" s="19"/>
      <c r="C27" s="19"/>
      <c r="D27" s="19"/>
      <c r="E27" s="19"/>
      <c r="F27" s="19"/>
      <c r="G27" s="19"/>
      <c r="H27" s="20"/>
      <c r="I27" s="21"/>
      <c r="J27" s="22"/>
      <c r="K27" s="23"/>
      <c r="M27" s="8">
        <v>6</v>
      </c>
      <c r="N27" s="19"/>
      <c r="O27" s="19"/>
      <c r="P27" s="19"/>
      <c r="Q27" s="19"/>
      <c r="R27" s="19"/>
      <c r="S27" s="19"/>
      <c r="T27" s="20"/>
      <c r="U27" s="21"/>
      <c r="V27" s="22"/>
      <c r="W27" s="23"/>
    </row>
    <row r="28" spans="1:23">
      <c r="A28" s="9">
        <v>7</v>
      </c>
      <c r="B28" s="20"/>
      <c r="C28" s="20"/>
      <c r="D28" s="20"/>
      <c r="E28" s="20"/>
      <c r="F28" s="20"/>
      <c r="G28" s="20"/>
      <c r="H28" s="20"/>
      <c r="I28" s="21"/>
      <c r="J28" s="22"/>
      <c r="K28" s="23"/>
      <c r="M28" s="9">
        <v>7</v>
      </c>
      <c r="N28" s="20"/>
      <c r="O28" s="20"/>
      <c r="P28" s="20"/>
      <c r="Q28" s="20"/>
      <c r="R28" s="20"/>
      <c r="S28" s="20"/>
      <c r="T28" s="20"/>
      <c r="U28" s="21"/>
      <c r="V28" s="22"/>
      <c r="W28" s="23"/>
    </row>
    <row r="29" spans="1:23">
      <c r="A29" s="10">
        <v>8</v>
      </c>
      <c r="B29" s="21"/>
      <c r="C29" s="21"/>
      <c r="D29" s="21"/>
      <c r="E29" s="21"/>
      <c r="F29" s="21"/>
      <c r="G29" s="21"/>
      <c r="H29" s="21"/>
      <c r="I29" s="21"/>
      <c r="J29" s="22"/>
      <c r="K29" s="23"/>
      <c r="M29" s="10">
        <v>8</v>
      </c>
      <c r="N29" s="21"/>
      <c r="O29" s="21"/>
      <c r="P29" s="21"/>
      <c r="Q29" s="21"/>
      <c r="R29" s="21"/>
      <c r="S29" s="21"/>
      <c r="T29" s="21"/>
      <c r="U29" s="21"/>
      <c r="V29" s="22"/>
      <c r="W29" s="23"/>
    </row>
    <row r="30" spans="1:23">
      <c r="A30" s="11">
        <v>9</v>
      </c>
      <c r="B30" s="22"/>
      <c r="C30" s="22"/>
      <c r="D30" s="22"/>
      <c r="E30" s="22"/>
      <c r="F30" s="22"/>
      <c r="G30" s="22"/>
      <c r="H30" s="22"/>
      <c r="I30" s="22"/>
      <c r="J30" s="22"/>
      <c r="K30" s="23"/>
      <c r="M30" s="11">
        <v>9</v>
      </c>
      <c r="N30" s="22"/>
      <c r="O30" s="22"/>
      <c r="P30" s="22"/>
      <c r="Q30" s="22"/>
      <c r="R30" s="22"/>
      <c r="S30" s="22"/>
      <c r="T30" s="22"/>
      <c r="U30" s="22"/>
      <c r="V30" s="22"/>
      <c r="W30" s="23"/>
    </row>
    <row r="31" spans="1:23">
      <c r="A31" s="12">
        <v>10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M31" s="12">
        <v>10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</row>
    <row r="33" spans="1:23">
      <c r="A33" s="2" t="s">
        <v>82</v>
      </c>
      <c r="M33" s="2" t="s">
        <v>83</v>
      </c>
    </row>
    <row r="34" spans="1:23">
      <c r="B34" s="3" t="s">
        <v>3</v>
      </c>
      <c r="C34" s="4" t="s">
        <v>4</v>
      </c>
      <c r="D34" s="5" t="s">
        <v>5</v>
      </c>
      <c r="E34" s="6" t="s">
        <v>6</v>
      </c>
      <c r="F34" s="7" t="s">
        <v>7</v>
      </c>
      <c r="G34" s="8" t="s">
        <v>8</v>
      </c>
      <c r="H34" s="9" t="s">
        <v>9</v>
      </c>
      <c r="I34" s="10" t="s">
        <v>10</v>
      </c>
      <c r="J34" s="11" t="s">
        <v>11</v>
      </c>
      <c r="K34" s="12" t="s">
        <v>12</v>
      </c>
      <c r="N34" s="3" t="s">
        <v>3</v>
      </c>
      <c r="O34" s="4" t="s">
        <v>4</v>
      </c>
      <c r="P34" s="5" t="s">
        <v>5</v>
      </c>
      <c r="Q34" s="6" t="s">
        <v>6</v>
      </c>
      <c r="R34" s="7" t="s">
        <v>7</v>
      </c>
      <c r="S34" s="8" t="s">
        <v>8</v>
      </c>
      <c r="T34" s="9" t="s">
        <v>9</v>
      </c>
      <c r="U34" s="10" t="s">
        <v>10</v>
      </c>
      <c r="V34" s="11" t="s">
        <v>11</v>
      </c>
      <c r="W34" s="12" t="s">
        <v>12</v>
      </c>
    </row>
    <row r="35" spans="1:23">
      <c r="A35" s="3">
        <v>1</v>
      </c>
      <c r="B35" s="14">
        <v>4</v>
      </c>
      <c r="C35" s="15"/>
      <c r="D35" s="16"/>
      <c r="E35" s="17"/>
      <c r="F35" s="18"/>
      <c r="G35" s="19"/>
      <c r="H35" s="20"/>
      <c r="I35" s="21"/>
      <c r="J35" s="22"/>
      <c r="K35" s="23"/>
      <c r="M35" s="3">
        <v>1</v>
      </c>
      <c r="N35" s="14">
        <f>POWER(B35-E45,2)</f>
        <v>0</v>
      </c>
      <c r="O35" s="15"/>
      <c r="P35" s="16"/>
      <c r="Q35" s="17"/>
      <c r="R35" s="18"/>
      <c r="S35" s="19"/>
      <c r="T35" s="20"/>
      <c r="U35" s="21"/>
      <c r="V35" s="22"/>
      <c r="W35" s="23"/>
    </row>
    <row r="36" spans="1:23">
      <c r="A36" s="4">
        <v>2</v>
      </c>
      <c r="B36" s="15"/>
      <c r="C36" s="15"/>
      <c r="D36" s="16"/>
      <c r="E36" s="17"/>
      <c r="F36" s="18"/>
      <c r="G36" s="19"/>
      <c r="H36" s="20"/>
      <c r="I36" s="21"/>
      <c r="J36" s="22"/>
      <c r="K36" s="23"/>
      <c r="M36" s="4">
        <v>2</v>
      </c>
      <c r="N36" s="15"/>
      <c r="O36" s="15"/>
      <c r="P36" s="16"/>
      <c r="Q36" s="17"/>
      <c r="R36" s="18"/>
      <c r="S36" s="19"/>
      <c r="T36" s="20"/>
      <c r="U36" s="21"/>
      <c r="V36" s="22"/>
      <c r="W36" s="23"/>
    </row>
    <row r="37" spans="1:23">
      <c r="A37" s="5">
        <v>3</v>
      </c>
      <c r="B37" s="16"/>
      <c r="C37" s="16"/>
      <c r="D37" s="16"/>
      <c r="E37" s="17"/>
      <c r="F37" s="18"/>
      <c r="G37" s="19"/>
      <c r="H37" s="20"/>
      <c r="I37" s="21"/>
      <c r="J37" s="22"/>
      <c r="K37" s="23"/>
      <c r="M37" s="5">
        <v>3</v>
      </c>
      <c r="N37" s="16"/>
      <c r="O37" s="16"/>
      <c r="P37" s="16"/>
      <c r="Q37" s="17"/>
      <c r="R37" s="18"/>
      <c r="S37" s="19"/>
      <c r="T37" s="20"/>
      <c r="U37" s="21"/>
      <c r="V37" s="22"/>
      <c r="W37" s="23"/>
    </row>
    <row r="38" spans="1:23">
      <c r="A38" s="6">
        <v>4</v>
      </c>
      <c r="B38" s="17"/>
      <c r="C38" s="17"/>
      <c r="D38" s="17"/>
      <c r="E38" s="17"/>
      <c r="F38" s="18"/>
      <c r="G38" s="19"/>
      <c r="H38" s="20"/>
      <c r="I38" s="21"/>
      <c r="J38" s="22"/>
      <c r="K38" s="23"/>
      <c r="M38" s="6">
        <v>4</v>
      </c>
      <c r="N38" s="17"/>
      <c r="O38" s="17"/>
      <c r="P38" s="17"/>
      <c r="Q38" s="17"/>
      <c r="R38" s="18"/>
      <c r="S38" s="19"/>
      <c r="T38" s="20"/>
      <c r="U38" s="21"/>
      <c r="V38" s="22"/>
      <c r="W38" s="23"/>
    </row>
    <row r="39" spans="1:23">
      <c r="A39" s="7">
        <v>5</v>
      </c>
      <c r="B39" s="18"/>
      <c r="C39" s="18"/>
      <c r="D39" s="18"/>
      <c r="E39" s="18"/>
      <c r="F39" s="18"/>
      <c r="G39" s="19"/>
      <c r="H39" s="20"/>
      <c r="I39" s="21"/>
      <c r="J39" s="22"/>
      <c r="K39" s="23"/>
      <c r="M39" s="7">
        <v>5</v>
      </c>
      <c r="N39" s="18"/>
      <c r="O39" s="18"/>
      <c r="P39" s="18"/>
      <c r="Q39" s="18"/>
      <c r="R39" s="18"/>
      <c r="S39" s="19"/>
      <c r="T39" s="20"/>
      <c r="U39" s="21"/>
      <c r="V39" s="22"/>
      <c r="W39" s="23"/>
    </row>
    <row r="40" spans="1:23">
      <c r="A40" s="8">
        <v>6</v>
      </c>
      <c r="B40" s="19"/>
      <c r="C40" s="19"/>
      <c r="D40" s="19"/>
      <c r="E40" s="19"/>
      <c r="F40" s="19"/>
      <c r="G40" s="19"/>
      <c r="H40" s="20"/>
      <c r="I40" s="21"/>
      <c r="J40" s="22"/>
      <c r="K40" s="23"/>
      <c r="M40" s="8">
        <v>6</v>
      </c>
      <c r="N40" s="19"/>
      <c r="O40" s="19"/>
      <c r="P40" s="19"/>
      <c r="Q40" s="19"/>
      <c r="R40" s="19"/>
      <c r="S40" s="19"/>
      <c r="T40" s="20"/>
      <c r="U40" s="21"/>
      <c r="V40" s="22"/>
      <c r="W40" s="23"/>
    </row>
    <row r="41" spans="1:23">
      <c r="A41" s="9">
        <v>7</v>
      </c>
      <c r="B41" s="20"/>
      <c r="C41" s="20"/>
      <c r="D41" s="20"/>
      <c r="E41" s="20"/>
      <c r="F41" s="20"/>
      <c r="G41" s="20"/>
      <c r="H41" s="20"/>
      <c r="I41" s="21"/>
      <c r="J41" s="22"/>
      <c r="K41" s="23"/>
      <c r="M41" s="9">
        <v>7</v>
      </c>
      <c r="N41" s="20"/>
      <c r="O41" s="20"/>
      <c r="P41" s="20"/>
      <c r="Q41" s="20"/>
      <c r="R41" s="20"/>
      <c r="S41" s="20"/>
      <c r="T41" s="20"/>
      <c r="U41" s="21"/>
      <c r="V41" s="22"/>
      <c r="W41" s="23"/>
    </row>
    <row r="42" spans="1:23">
      <c r="A42" s="10">
        <v>8</v>
      </c>
      <c r="B42" s="21"/>
      <c r="C42" s="21"/>
      <c r="D42" s="21"/>
      <c r="E42" s="21"/>
      <c r="F42" s="21"/>
      <c r="G42" s="21"/>
      <c r="H42" s="21"/>
      <c r="I42" s="21"/>
      <c r="J42" s="22"/>
      <c r="K42" s="23"/>
      <c r="M42" s="10">
        <v>8</v>
      </c>
      <c r="N42" s="21"/>
      <c r="O42" s="21"/>
      <c r="P42" s="21"/>
      <c r="Q42" s="21"/>
      <c r="R42" s="21"/>
      <c r="S42" s="21"/>
      <c r="T42" s="21"/>
      <c r="U42" s="21"/>
      <c r="V42" s="22"/>
      <c r="W42" s="23"/>
    </row>
    <row r="43" spans="1:23">
      <c r="A43" s="11">
        <v>9</v>
      </c>
      <c r="B43" s="22"/>
      <c r="C43" s="22"/>
      <c r="D43" s="22"/>
      <c r="E43" s="22"/>
      <c r="F43" s="22"/>
      <c r="G43" s="22"/>
      <c r="H43" s="22"/>
      <c r="I43" s="22"/>
      <c r="J43" s="22"/>
      <c r="K43" s="23"/>
      <c r="M43" s="11">
        <v>9</v>
      </c>
      <c r="N43" s="22"/>
      <c r="O43" s="22"/>
      <c r="P43" s="22"/>
      <c r="Q43" s="22"/>
      <c r="R43" s="22"/>
      <c r="S43" s="22"/>
      <c r="T43" s="22"/>
      <c r="U43" s="22"/>
      <c r="V43" s="22"/>
      <c r="W43" s="23"/>
    </row>
    <row r="44" spans="1:23">
      <c r="A44" s="12">
        <v>10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M44" s="12">
        <v>10</v>
      </c>
      <c r="N44" s="23"/>
      <c r="O44" s="23"/>
      <c r="P44" s="23"/>
      <c r="Q44" s="23"/>
      <c r="R44" s="23"/>
      <c r="S44" s="23"/>
      <c r="T44" s="23"/>
      <c r="U44" s="23"/>
      <c r="V44" s="23"/>
      <c r="W44" s="23"/>
    </row>
    <row r="45" spans="1:23">
      <c r="A45" s="2" t="s">
        <v>84</v>
      </c>
      <c r="B45" s="39" t="s">
        <v>32</v>
      </c>
      <c r="C45" s="39">
        <f>COUNT(B35:K44)</f>
        <v>1</v>
      </c>
      <c r="D45" s="2" t="s">
        <v>85</v>
      </c>
      <c r="E45" s="39">
        <f>_xlfn.SINGLE((SUM(B35:K44) / C45))</f>
        <v>4</v>
      </c>
    </row>
    <row r="47" spans="1:23">
      <c r="A47" s="2" t="s">
        <v>86</v>
      </c>
    </row>
    <row r="48" spans="1:23">
      <c r="A48" s="54" t="s">
        <v>45</v>
      </c>
      <c r="B48" s="55" t="s">
        <v>46</v>
      </c>
      <c r="C48" s="56" t="s">
        <v>47</v>
      </c>
      <c r="D48" s="57" t="s">
        <v>48</v>
      </c>
      <c r="E48" s="51" t="s">
        <v>8</v>
      </c>
    </row>
    <row r="49" spans="1:5">
      <c r="A49" s="55" t="s">
        <v>87</v>
      </c>
      <c r="B49" s="15">
        <v>1</v>
      </c>
      <c r="C49" s="16">
        <f>SUM(N9:W18)</f>
        <v>1</v>
      </c>
      <c r="D49" s="17">
        <f>C49</f>
        <v>1</v>
      </c>
      <c r="E49" s="18">
        <f>_xlfn.SINGLE((D49 / D50))</f>
        <v>-1</v>
      </c>
    </row>
    <row r="50" spans="1:5">
      <c r="A50" s="56" t="s">
        <v>50</v>
      </c>
      <c r="B50" s="16">
        <f>C45-2</f>
        <v>-1</v>
      </c>
      <c r="C50" s="16">
        <f>SUM(N22:W31)</f>
        <v>1</v>
      </c>
      <c r="D50" s="17">
        <f>_xlfn.SINGLE((C50 / B50))</f>
        <v>-1</v>
      </c>
      <c r="E50" s="18"/>
    </row>
    <row r="51" spans="1:5">
      <c r="A51" s="57" t="s">
        <v>13</v>
      </c>
      <c r="B51" s="17">
        <f>C45-1</f>
        <v>0</v>
      </c>
      <c r="C51" s="17">
        <f>SUM(N35:W44)</f>
        <v>0</v>
      </c>
      <c r="D51" s="17"/>
      <c r="E51" s="18"/>
    </row>
    <row r="52" spans="1:5">
      <c r="A52" s="2" t="s">
        <v>88</v>
      </c>
      <c r="B52" s="39" t="e">
        <f>_xlfn.SINGLE((C49 / C51))</f>
        <v>#DIV/0!</v>
      </c>
    </row>
    <row r="53" spans="1:5">
      <c r="A53" s="2" t="s">
        <v>89</v>
      </c>
      <c r="B53" s="39" t="e">
        <f>POWER(D50,0.5)</f>
        <v>#NUM!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2025-12-17T23:00:35Z</dcterms:created>
  <dcterms:modified xsi:type="dcterms:W3CDTF">2025-12-17T23:00:35Z</dcterms:modified>
  <cp:category/>
  <cp:contentStatus/>
</cp:coreProperties>
</file>