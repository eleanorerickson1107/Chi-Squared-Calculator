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^2" sheetId="1" r:id="rId4"/>
    <sheet state="visible" name="ANOVA" sheetId="2" r:id="rId5"/>
    <sheet state="visible" name="Sheet4" sheetId="3" r:id="rId6"/>
  </sheets>
  <definedNames/>
  <calcPr/>
</workbook>
</file>

<file path=xl/sharedStrings.xml><?xml version="1.0" encoding="utf-8"?>
<sst xmlns="http://schemas.openxmlformats.org/spreadsheetml/2006/main" count="424" uniqueCount="90">
  <si>
    <t>x^2 Calculator</t>
  </si>
  <si>
    <t>1. Enter Values Here (min. 2x2 table)</t>
  </si>
  <si>
    <t>A. Calculation (total column divided by total row)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</si>
  <si>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</si>
  <si>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</si>
  <si>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</si>
  <si>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</si>
  <si>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</si>
  <si>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</si>
  <si>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</si>
  <si>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</si>
  <si>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</si>
  <si>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</si>
  <si>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Total</t>
  </si>
  <si>
    <t>2. Expected Values</t>
  </si>
  <si>
    <t>B. Calculation (observed minus expected)</t>
  </si>
  <si>
    <t>3. Chi Squared Values Contributions</t>
  </si>
  <si>
    <t>C. Calculation (B to the 2nd power)</t>
  </si>
  <si>
    <t>4. Chi Squared Value</t>
  </si>
  <si>
    <t>x^2</t>
  </si>
  <si>
    <t>--</t>
  </si>
  <si>
    <t>5. Degrees of Freedom</t>
  </si>
  <si>
    <t>ANOVA Calculator</t>
  </si>
  <si>
    <t>1-7, ANOVA Calculator with entering data.  A-C, ANOVA Calculator with entering ANOVA table and two n values and two mean values.</t>
  </si>
  <si>
    <t>1. Enter in Values</t>
  </si>
  <si>
    <t>Average (row)</t>
  </si>
  <si>
    <t>StDev</t>
  </si>
  <si>
    <r>
      <rPr>
        <rFont val="Arial"/>
        <b/>
        <color theme="1"/>
      </rPr>
      <t>n</t>
    </r>
    <r>
      <rPr>
        <rFont val="Arial"/>
        <b/>
        <color theme="1"/>
        <sz val="6.0"/>
      </rPr>
      <t>i</t>
    </r>
  </si>
  <si>
    <r>
      <rPr>
        <rFont val="Arial"/>
        <b/>
        <color theme="1"/>
      </rPr>
      <t>n</t>
    </r>
    <r>
      <rPr>
        <rFont val="Arial"/>
        <b/>
        <color theme="1"/>
        <sz val="6.0"/>
      </rPr>
      <t>i</t>
    </r>
    <r>
      <rPr>
        <rFont val="Arial"/>
        <b/>
        <color theme="1"/>
      </rPr>
      <t xml:space="preserve"> ^-</t>
    </r>
    <r>
      <rPr>
        <rFont val="Arial"/>
        <b/>
        <color theme="1"/>
        <sz val="6.0"/>
      </rPr>
      <t>1</t>
    </r>
  </si>
  <si>
    <t>2. Value summary</t>
  </si>
  <si>
    <t>total:</t>
  </si>
  <si>
    <t>k:</t>
  </si>
  <si>
    <t>n:</t>
  </si>
  <si>
    <t>Overall Average:</t>
  </si>
  <si>
    <t>t-stat?</t>
  </si>
  <si>
    <t>3. Calculations</t>
  </si>
  <si>
    <t>row-overall</t>
  </si>
  <si>
    <t>2nd power</t>
  </si>
  <si>
    <t>contrib. to SSG</t>
  </si>
  <si>
    <t>n-1</t>
  </si>
  <si>
    <t>s^2</t>
  </si>
  <si>
    <t>Contrib. to SSE</t>
  </si>
  <si>
    <t>SSG</t>
  </si>
  <si>
    <t>SSE</t>
  </si>
  <si>
    <t>4. ANOVA Table</t>
  </si>
  <si>
    <t>Source</t>
  </si>
  <si>
    <t>DF</t>
  </si>
  <si>
    <t>SS</t>
  </si>
  <si>
    <t>MS</t>
  </si>
  <si>
    <t>Group</t>
  </si>
  <si>
    <t>Error</t>
  </si>
  <si>
    <t>5. Difference in Means</t>
  </si>
  <si>
    <t>(A-B)</t>
  </si>
  <si>
    <t>Value B</t>
  </si>
  <si>
    <t>i</t>
  </si>
  <si>
    <t>Value A</t>
  </si>
  <si>
    <t>j</t>
  </si>
  <si>
    <t>6. Standard Error</t>
  </si>
  <si>
    <t>7. t-stat</t>
  </si>
  <si>
    <t>A. From ANOVA to Standard Error/t-stat (only enter what's bolded)</t>
  </si>
  <si>
    <t>B. Value Summary (only enter what's bolded, i-j)</t>
  </si>
  <si>
    <t>k</t>
  </si>
  <si>
    <t>n</t>
  </si>
  <si>
    <t>n 1</t>
  </si>
  <si>
    <t>n 2</t>
  </si>
  <si>
    <t>Average i</t>
  </si>
  <si>
    <t>Average j</t>
  </si>
  <si>
    <t>C. Standard Error</t>
  </si>
  <si>
    <t>(i+j)^-1</t>
  </si>
  <si>
    <t>i-j</t>
  </si>
  <si>
    <t>Standard Error</t>
  </si>
  <si>
    <t>t-stat</t>
  </si>
  <si>
    <t>Regression Intervals</t>
  </si>
  <si>
    <t>1. Enter in Values Regression Equation (Enter what's emphasized) b+mx format</t>
  </si>
  <si>
    <t>b_0 (b)</t>
  </si>
  <si>
    <t>b_1 (m)</t>
  </si>
  <si>
    <t>x</t>
  </si>
  <si>
    <t>Y_hat</t>
  </si>
  <si>
    <t>2. Enter in x values in table</t>
  </si>
  <si>
    <t>A. SSModel (y_hat-y_line)^2</t>
  </si>
  <si>
    <t>3. Predicted Y-values</t>
  </si>
  <si>
    <t>B. SSError (y-y_hat)^2</t>
  </si>
  <si>
    <t>4. Enter in y value</t>
  </si>
  <si>
    <t>C. SSTotal (y-y_line)^2</t>
  </si>
  <si>
    <t>Totals</t>
  </si>
  <si>
    <t>y_line</t>
  </si>
  <si>
    <t>5. ANOVA Table</t>
  </si>
  <si>
    <t>Model</t>
  </si>
  <si>
    <t>R^2</t>
  </si>
  <si>
    <t>S_epsilon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</si>
</sst>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color theme="0"/>
      <name val="Arial"/>
      <scheme val="minor"/>
    </font>
    <font>
      <b/>
      <color theme="1"/>
      <name val="Arial"/>
    </font>
    <font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theme="1"/>
        <bgColor theme="1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1" fillId="12" fontId="4" numFmtId="0" xfId="0" applyAlignment="1" applyBorder="1" applyFill="1" applyFont="1">
      <alignment readingOrder="0"/>
    </xf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9" fontId="3" numFmtId="0" xfId="0" applyAlignment="1" applyFill="1" applyFont="1">
      <alignment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1" fillId="12" fontId="5" numFmtId="0" xfId="0" applyBorder="1" applyFont="1"/>
    <xf borderId="0" fillId="13" fontId="3" numFmtId="0" xfId="0" applyFont="1"/>
    <xf borderId="0" fillId="14" fontId="3" numFmtId="0" xfId="0" applyFont="1"/>
    <xf borderId="0" fillId="15" fontId="3" numFmtId="0" xfId="0" applyFont="1"/>
    <xf borderId="0" fillId="16" fontId="3" numFmtId="0" xfId="0" applyFont="1"/>
    <xf borderId="0" fillId="17" fontId="3" numFmtId="0" xfId="0" applyFont="1"/>
    <xf borderId="0" fillId="18" fontId="3" numFmtId="0" xfId="0" applyFont="1"/>
    <xf borderId="0" fillId="19" fontId="3" numFmtId="0" xfId="0" applyFont="1"/>
    <xf borderId="0" fillId="20" fontId="3" numFmtId="0" xfId="0" applyFont="1"/>
    <xf borderId="0" fillId="21" fontId="3" numFmtId="0" xfId="0" applyFont="1"/>
    <xf borderId="0" fillId="22" fontId="3" numFmtId="0" xfId="0" applyFont="1"/>
    <xf borderId="0" fillId="14" fontId="6" numFmtId="0" xfId="0" applyFont="1"/>
    <xf borderId="0" fillId="15" fontId="6" numFmtId="0" xfId="0" applyFont="1"/>
    <xf borderId="0" fillId="16" fontId="6" numFmtId="0" xfId="0" applyFont="1"/>
    <xf borderId="0" fillId="17" fontId="6" numFmtId="0" xfId="0" applyFont="1"/>
    <xf borderId="0" fillId="18" fontId="6" numFmtId="0" xfId="0" applyFont="1"/>
    <xf borderId="0" fillId="19" fontId="6" numFmtId="0" xfId="0" applyFont="1"/>
    <xf borderId="0" fillId="20" fontId="6" numFmtId="0" xfId="0" applyFont="1"/>
    <xf borderId="0" fillId="21" fontId="6" numFmtId="0" xfId="0" applyFont="1"/>
    <xf borderId="0" fillId="22" fontId="6" numFmtId="0" xfId="0" applyFont="1"/>
    <xf borderId="1" fillId="23" fontId="7" numFmtId="0" xfId="0" applyBorder="1" applyFill="1" applyFont="1"/>
    <xf borderId="1" fillId="12" fontId="7" numFmtId="0" xfId="0" applyBorder="1" applyFont="1"/>
    <xf borderId="0" fillId="24" fontId="3" numFmtId="0" xfId="0" applyFill="1" applyFont="1"/>
    <xf borderId="0" fillId="23" fontId="4" numFmtId="0" xfId="0" applyAlignment="1" applyFont="1">
      <alignment readingOrder="0"/>
    </xf>
    <xf borderId="0" fillId="24" fontId="3" numFmtId="0" xfId="0" applyAlignment="1" applyFont="1">
      <alignment readingOrder="0"/>
    </xf>
    <xf borderId="0" fillId="15" fontId="0" numFmtId="0" xfId="0" applyFont="1"/>
    <xf borderId="0" fillId="0" fontId="3" numFmtId="0" xfId="0" applyAlignment="1" applyFont="1">
      <alignment readingOrder="0"/>
    </xf>
    <xf borderId="0" fillId="2" fontId="3" numFmtId="0" xfId="0" applyFont="1"/>
    <xf borderId="0" fillId="24" fontId="2" numFmtId="0" xfId="0" applyAlignment="1" applyFont="1">
      <alignment readingOrder="0"/>
    </xf>
    <xf borderId="0" fillId="3" fontId="3" numFmtId="0" xfId="0" applyFont="1"/>
    <xf borderId="0" fillId="4" fontId="3" numFmtId="0" xfId="0" applyFont="1"/>
    <xf borderId="0" fillId="5" fontId="3" numFmtId="0" xfId="0" applyFont="1"/>
    <xf borderId="0" fillId="6" fontId="3" numFmtId="0" xfId="0" applyFont="1"/>
    <xf borderId="0" fillId="7" fontId="3" numFmtId="0" xfId="0" applyFont="1"/>
    <xf borderId="0" fillId="8" fontId="3" numFmtId="0" xfId="0" applyFont="1"/>
    <xf borderId="0" fillId="9" fontId="3" numFmtId="0" xfId="0" applyFont="1"/>
    <xf borderId="0" fillId="10" fontId="3" numFmtId="0" xfId="0" applyFont="1"/>
    <xf borderId="2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13" fontId="9" numFmtId="0" xfId="0" applyAlignment="1" applyFont="1">
      <alignment horizontal="right" vertical="bottom"/>
    </xf>
    <xf borderId="0" fillId="3" fontId="8" numFmtId="0" xfId="0" applyAlignment="1" applyFont="1">
      <alignment vertical="bottom"/>
    </xf>
    <xf borderId="0" fillId="14" fontId="9" numFmtId="0" xfId="0" applyAlignment="1" applyFont="1">
      <alignment horizontal="right" vertical="bottom"/>
    </xf>
    <xf borderId="0" fillId="4" fontId="8" numFmtId="0" xfId="0" applyAlignment="1" applyFont="1">
      <alignment vertical="bottom"/>
    </xf>
    <xf borderId="0" fillId="15" fontId="9" numFmtId="0" xfId="0" applyAlignment="1" applyFont="1">
      <alignment horizontal="right" vertical="bottom"/>
    </xf>
    <xf borderId="0" fillId="5" fontId="8" numFmtId="0" xfId="0" applyAlignment="1" applyFont="1">
      <alignment vertical="bottom"/>
    </xf>
    <xf borderId="0" fillId="16" fontId="9" numFmtId="0" xfId="0" applyAlignment="1" applyFont="1">
      <alignment horizontal="right" vertical="bottom"/>
    </xf>
    <xf borderId="0" fillId="6" fontId="2" numFmtId="0" xfId="0" applyAlignment="1" applyFont="1">
      <alignment readingOrder="0"/>
    </xf>
    <xf borderId="0" fillId="17" fontId="3" numFmtId="0" xfId="0" applyAlignment="1" applyFont="1">
      <alignment horizontal="center"/>
    </xf>
    <xf borderId="0" fillId="25" fontId="3" numFmtId="0" xfId="0" applyFill="1" applyFont="1"/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24" fontId="9" numFmtId="0" xfId="0" applyAlignment="1" applyFont="1">
      <alignment vertical="bottom"/>
    </xf>
    <xf borderId="0" fillId="25" fontId="2" numFmtId="0" xfId="0" applyAlignment="1" applyFont="1">
      <alignment readingOrder="0"/>
    </xf>
    <xf borderId="0" fillId="25" fontId="3" numFmtId="0" xfId="0" applyAlignment="1" applyFont="1">
      <alignment readingOrder="0"/>
    </xf>
    <xf borderId="0" fillId="24" fontId="2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6" fontId="9" numFmtId="0" xfId="0" applyAlignment="1" applyFont="1">
      <alignment vertical="bottom"/>
    </xf>
    <xf borderId="0" fillId="7" fontId="9" numFmtId="0" xfId="0" applyAlignment="1" applyFont="1">
      <alignment vertical="bottom"/>
    </xf>
    <xf borderId="0" fillId="8" fontId="9" numFmtId="0" xfId="0" applyAlignment="1" applyFont="1">
      <alignment vertical="bottom"/>
    </xf>
    <xf borderId="0" fillId="9" fontId="9" numFmtId="0" xfId="0" applyAlignment="1" applyFont="1">
      <alignment vertical="bottom"/>
    </xf>
    <xf borderId="0" fillId="10" fontId="9" numFmtId="0" xfId="0" applyAlignment="1" applyFont="1">
      <alignment vertical="bottom"/>
    </xf>
    <xf borderId="0" fillId="11" fontId="9" numFmtId="0" xfId="0" applyAlignment="1" applyFont="1">
      <alignment vertical="bottom"/>
    </xf>
    <xf borderId="0" fillId="13" fontId="9" numFmtId="0" xfId="0" applyAlignment="1" applyFont="1">
      <alignment vertical="bottom"/>
    </xf>
    <xf borderId="0" fillId="13" fontId="9" numFmtId="0" xfId="0" applyAlignment="1" applyFont="1">
      <alignment vertical="bottom"/>
    </xf>
    <xf borderId="0" fillId="13" fontId="9" numFmtId="0" xfId="0" applyAlignment="1" applyFont="1">
      <alignment readingOrder="0" vertical="bottom"/>
    </xf>
    <xf borderId="0" fillId="14" fontId="9" numFmtId="0" xfId="0" applyAlignment="1" applyFont="1">
      <alignment vertical="bottom"/>
    </xf>
    <xf borderId="0" fillId="14" fontId="9" numFmtId="0" xfId="0" applyAlignment="1" applyFont="1">
      <alignment vertical="bottom"/>
    </xf>
    <xf borderId="0" fillId="14" fontId="9" numFmtId="0" xfId="0" applyAlignment="1" applyFont="1">
      <alignment readingOrder="0" vertical="bottom"/>
    </xf>
    <xf borderId="0" fillId="15" fontId="9" numFmtId="0" xfId="0" applyAlignment="1" applyFont="1">
      <alignment vertical="bottom"/>
    </xf>
    <xf borderId="0" fillId="15" fontId="9" numFmtId="0" xfId="0" applyAlignment="1" applyFont="1">
      <alignment vertical="bottom"/>
    </xf>
    <xf borderId="0" fillId="15" fontId="9" numFmtId="0" xfId="0" applyAlignment="1" applyFont="1">
      <alignment readingOrder="0" vertical="bottom"/>
    </xf>
    <xf borderId="0" fillId="16" fontId="9" numFmtId="0" xfId="0" applyAlignment="1" applyFont="1">
      <alignment vertical="bottom"/>
    </xf>
    <xf borderId="0" fillId="16" fontId="9" numFmtId="0" xfId="0" applyAlignment="1" applyFont="1">
      <alignment vertical="bottom"/>
    </xf>
    <xf borderId="0" fillId="16" fontId="9" numFmtId="0" xfId="0" applyAlignment="1" applyFont="1">
      <alignment readingOrder="0" vertical="bottom"/>
    </xf>
    <xf borderId="0" fillId="17" fontId="9" numFmtId="0" xfId="0" applyAlignment="1" applyFont="1">
      <alignment vertical="bottom"/>
    </xf>
    <xf borderId="0" fillId="17" fontId="0" numFmtId="0" xfId="0" applyFont="1"/>
    <xf borderId="0" fillId="17" fontId="9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17" fontId="9" numFmtId="0" xfId="0" applyAlignment="1" applyFont="1">
      <alignment readingOrder="0" vertical="bottom"/>
    </xf>
    <xf borderId="0" fillId="18" fontId="9" numFmtId="0" xfId="0" applyAlignment="1" applyFont="1">
      <alignment vertical="bottom"/>
    </xf>
    <xf borderId="0" fillId="18" fontId="9" numFmtId="0" xfId="0" applyAlignment="1" applyFont="1">
      <alignment vertical="bottom"/>
    </xf>
    <xf borderId="0" fillId="18" fontId="9" numFmtId="0" xfId="0" applyAlignment="1" applyFont="1">
      <alignment readingOrder="0" vertical="bottom"/>
    </xf>
    <xf borderId="0" fillId="19" fontId="9" numFmtId="0" xfId="0" applyAlignment="1" applyFont="1">
      <alignment vertical="bottom"/>
    </xf>
    <xf borderId="0" fillId="19" fontId="9" numFmtId="0" xfId="0" applyAlignment="1" applyFont="1">
      <alignment vertical="bottom"/>
    </xf>
    <xf borderId="0" fillId="19" fontId="9" numFmtId="0" xfId="0" applyAlignment="1" applyFont="1">
      <alignment readingOrder="0" vertical="bottom"/>
    </xf>
    <xf borderId="0" fillId="20" fontId="9" numFmtId="0" xfId="0" applyAlignment="1" applyFont="1">
      <alignment vertical="bottom"/>
    </xf>
    <xf borderId="0" fillId="20" fontId="9" numFmtId="0" xfId="0" applyAlignment="1" applyFont="1">
      <alignment vertical="bottom"/>
    </xf>
    <xf borderId="0" fillId="20" fontId="9" numFmtId="0" xfId="0" applyAlignment="1" applyFont="1">
      <alignment readingOrder="0" vertical="bottom"/>
    </xf>
    <xf borderId="0" fillId="21" fontId="9" numFmtId="0" xfId="0" applyAlignment="1" applyFont="1">
      <alignment vertical="bottom"/>
    </xf>
    <xf borderId="0" fillId="21" fontId="9" numFmtId="0" xfId="0" applyAlignment="1" applyFont="1">
      <alignment vertical="bottom"/>
    </xf>
    <xf borderId="0" fillId="21" fontId="9" numFmtId="0" xfId="0" applyAlignment="1" applyFont="1">
      <alignment readingOrder="0" vertical="bottom"/>
    </xf>
    <xf borderId="0" fillId="11" fontId="9" numFmtId="0" xfId="0" applyAlignment="1" applyFont="1">
      <alignment vertical="bottom"/>
    </xf>
    <xf borderId="0" fillId="22" fontId="9" numFmtId="0" xfId="0" applyAlignment="1" applyFont="1">
      <alignment vertical="bottom"/>
    </xf>
    <xf borderId="0" fillId="22" fontId="9" numFmtId="0" xfId="0" applyAlignment="1" applyFont="1">
      <alignment vertical="bottom"/>
    </xf>
    <xf borderId="0" fillId="22" fontId="9" numFmtId="0" xfId="0" applyAlignment="1" applyFont="1">
      <alignment readingOrder="0" vertical="bottom"/>
    </xf>
    <xf borderId="0" fillId="24" fontId="9" numFmtId="0" xfId="0" applyAlignment="1" applyFont="1">
      <alignment vertical="bottom"/>
    </xf>
    <xf borderId="0" fillId="24" fontId="9" numFmtId="0" xfId="0" applyAlignment="1" applyFont="1">
      <alignment readingOrder="0" vertical="bottom"/>
    </xf>
    <xf borderId="0" fillId="24" fontId="0" numFmtId="0" xfId="0" applyFont="1"/>
    <xf borderId="0" fillId="12" fontId="3" numFmtId="0" xfId="0" applyFont="1"/>
    <xf borderId="3" fillId="14" fontId="3" numFmtId="0" xfId="0" applyAlignment="1" applyBorder="1" applyFont="1">
      <alignment readingOrder="0"/>
    </xf>
    <xf borderId="4" fillId="15" fontId="3" numFmtId="0" xfId="0" applyAlignment="1" applyBorder="1" applyFont="1">
      <alignment readingOrder="0"/>
    </xf>
    <xf borderId="5" fillId="15" fontId="3" numFmtId="0" xfId="0" applyAlignment="1" applyBorder="1" applyFont="1">
      <alignment readingOrder="0"/>
    </xf>
    <xf borderId="6" fillId="15" fontId="3" numFmtId="0" xfId="0" applyAlignment="1" applyBorder="1" applyFont="1">
      <alignment readingOrder="0"/>
    </xf>
    <xf borderId="0" fillId="2" fontId="8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3" fillId="4" fontId="8" numFmtId="0" xfId="0" applyAlignment="1" applyBorder="1" applyFont="1">
      <alignment readingOrder="0" vertical="bottom"/>
    </xf>
    <xf borderId="4" fillId="15" fontId="9" numFmtId="0" xfId="0" applyAlignment="1" applyBorder="1" applyFont="1">
      <alignment horizontal="right" readingOrder="0" vertical="bottom"/>
    </xf>
    <xf borderId="7" fillId="5" fontId="8" numFmtId="0" xfId="0" applyAlignment="1" applyBorder="1" applyFont="1">
      <alignment readingOrder="0" vertical="bottom"/>
    </xf>
    <xf borderId="8" fillId="16" fontId="9" numFmtId="0" xfId="0" applyAlignment="1" applyBorder="1" applyFont="1">
      <alignment horizontal="right" readingOrder="0" vertical="bottom"/>
    </xf>
    <xf borderId="7" fillId="6" fontId="8" numFmtId="0" xfId="0" applyAlignment="1" applyBorder="1" applyFont="1">
      <alignment readingOrder="0" vertical="bottom"/>
    </xf>
    <xf borderId="8" fillId="17" fontId="9" numFmtId="0" xfId="0" applyAlignment="1" applyBorder="1" applyFont="1">
      <alignment readingOrder="0" vertical="bottom"/>
    </xf>
    <xf borderId="5" fillId="7" fontId="8" numFmtId="0" xfId="0" applyAlignment="1" applyBorder="1" applyFont="1">
      <alignment readingOrder="0" vertical="bottom"/>
    </xf>
    <xf borderId="6" fillId="18" fontId="9" numFmtId="0" xfId="0" applyAlignment="1" applyBorder="1" applyFont="1">
      <alignment readingOrder="0" vertical="bottom"/>
    </xf>
    <xf borderId="3" fillId="2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4" fillId="4" fontId="3" numFmtId="0" xfId="0" applyAlignment="1" applyBorder="1" applyFont="1">
      <alignment readingOrder="0"/>
    </xf>
    <xf borderId="5" fillId="13" fontId="3" numFmtId="0" xfId="0" applyAlignment="1" applyBorder="1" applyFont="1">
      <alignment readingOrder="0"/>
    </xf>
    <xf borderId="10" fillId="14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2" t="s">
        <v>1</v>
      </c>
      <c r="N3" s="2" t="s">
        <v>2</v>
      </c>
    </row>
    <row r="4"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  <c r="K4" s="12" t="s">
        <v>12</v>
      </c>
      <c r="L4" s="13" t="s">
        <v>13</v>
      </c>
      <c r="N4" s="3" t="s">
        <v>3</v>
      </c>
      <c r="O4" s="4" t="s">
        <v>4</v>
      </c>
      <c r="P4" s="5" t="s">
        <v>5</v>
      </c>
      <c r="Q4" s="6" t="s">
        <v>6</v>
      </c>
      <c r="R4" s="7" t="s">
        <v>7</v>
      </c>
      <c r="S4" s="8" t="s">
        <v>8</v>
      </c>
      <c r="T4" s="9" t="s">
        <v>9</v>
      </c>
      <c r="U4" s="10" t="s">
        <v>10</v>
      </c>
      <c r="V4" s="11" t="s">
        <v>11</v>
      </c>
      <c r="W4" s="12" t="s">
        <v>12</v>
      </c>
    </row>
    <row r="5">
      <c r="A5" s="3">
        <v>1.0</v>
      </c>
      <c r="B5" s="14">
        <v>295.0</v>
      </c>
      <c r="C5" s="15">
        <v>1347.0</v>
      </c>
      <c r="D5" s="16">
        <v>726.0</v>
      </c>
      <c r="E5" s="17"/>
      <c r="F5" s="18"/>
      <c r="G5" s="19"/>
      <c r="H5" s="20"/>
      <c r="I5" s="21"/>
      <c r="J5" s="22"/>
      <c r="K5" s="23"/>
      <c r="L5" s="24">
        <f t="shared" ref="L5:L14" si="1">sum(B5:K5)</f>
        <v>2368</v>
      </c>
      <c r="M5" s="3">
        <v>1.0</v>
      </c>
      <c r="N5" s="25">
        <f>MULTIPLY(B15,L5)</f>
        <v>1091648</v>
      </c>
      <c r="O5" s="26">
        <f>MULTIPLY(C15,L5)</f>
        <v>5304320</v>
      </c>
      <c r="P5" s="27">
        <f>MULTIPLY(D15,L5)</f>
        <v>2216448</v>
      </c>
      <c r="Q5" s="28">
        <f>MULTIPLY(E15,L5)</f>
        <v>0</v>
      </c>
      <c r="R5" s="29">
        <f>MULTIPLY(F15,L5)</f>
        <v>0</v>
      </c>
      <c r="S5" s="30">
        <f>MULTIPLY(G15,L5)</f>
        <v>0</v>
      </c>
      <c r="T5" s="31">
        <f>MULTIPLY(H15,L5)</f>
        <v>0</v>
      </c>
      <c r="U5" s="32">
        <f>MULTIPLY(I15,L5)</f>
        <v>0</v>
      </c>
      <c r="V5" s="33">
        <f>MULTIPLY(J15,L5)</f>
        <v>0</v>
      </c>
      <c r="W5" s="34">
        <f>MULTIPLY(K15,L5)</f>
        <v>0</v>
      </c>
    </row>
    <row r="6">
      <c r="A6" s="4">
        <v>2.0</v>
      </c>
      <c r="B6" s="15">
        <v>76.0</v>
      </c>
      <c r="C6" s="15">
        <v>876.0</v>
      </c>
      <c r="D6" s="16">
        <v>120.0</v>
      </c>
      <c r="E6" s="17"/>
      <c r="F6" s="18"/>
      <c r="G6" s="19"/>
      <c r="H6" s="20"/>
      <c r="I6" s="21"/>
      <c r="J6" s="22"/>
      <c r="K6" s="23"/>
      <c r="L6" s="24">
        <f t="shared" si="1"/>
        <v>1072</v>
      </c>
      <c r="M6" s="4">
        <v>2.0</v>
      </c>
      <c r="N6" s="35">
        <f>MULTIPLY(B15,L6)</f>
        <v>494192</v>
      </c>
      <c r="O6" s="35">
        <f>MULTIPLY(C15,L6)</f>
        <v>2401280</v>
      </c>
      <c r="P6" s="36">
        <f>MULTIPLY(D15,L6)</f>
        <v>1003392</v>
      </c>
      <c r="Q6" s="37">
        <f>MULTIPLY(E15,L6)</f>
        <v>0</v>
      </c>
      <c r="R6" s="38">
        <f>MULTIPLY(F15,L6)</f>
        <v>0</v>
      </c>
      <c r="S6" s="39">
        <f>MULTIPLY(G15,L6)</f>
        <v>0</v>
      </c>
      <c r="T6" s="40">
        <f>MULTIPLY(H15,L6)</f>
        <v>0</v>
      </c>
      <c r="U6" s="41">
        <f>MULTIPLY(I15,L6)</f>
        <v>0</v>
      </c>
      <c r="V6" s="42">
        <f>MULTIPLY(J15,L6)</f>
        <v>0</v>
      </c>
      <c r="W6" s="43">
        <f>MULTIPLY(K15,L6)</f>
        <v>0</v>
      </c>
    </row>
    <row r="7">
      <c r="A7" s="5">
        <v>3.0</v>
      </c>
      <c r="B7" s="16">
        <v>90.0</v>
      </c>
      <c r="C7" s="16">
        <v>17.0</v>
      </c>
      <c r="D7" s="16">
        <v>90.0</v>
      </c>
      <c r="E7" s="17"/>
      <c r="F7" s="18"/>
      <c r="G7" s="19"/>
      <c r="H7" s="20"/>
      <c r="I7" s="21"/>
      <c r="J7" s="22"/>
      <c r="K7" s="23"/>
      <c r="L7" s="24">
        <f t="shared" si="1"/>
        <v>197</v>
      </c>
      <c r="M7" s="5">
        <v>3.0</v>
      </c>
      <c r="N7" s="27">
        <f>MULTIPLY(B15,L7)</f>
        <v>90817</v>
      </c>
      <c r="O7" s="27">
        <f>MULTIPLY(C15,L7)</f>
        <v>441280</v>
      </c>
      <c r="P7" s="27">
        <f>MULTIPLY(D15,L7)</f>
        <v>184392</v>
      </c>
      <c r="Q7" s="28">
        <f>MULTIPLY(E15,L7)</f>
        <v>0</v>
      </c>
      <c r="R7" s="29">
        <f>MULTIPLY(F15,L7)</f>
        <v>0</v>
      </c>
      <c r="S7" s="30">
        <f>MULTIPLY(G15,L7)</f>
        <v>0</v>
      </c>
      <c r="T7" s="31">
        <f>MULTIPLY(H15,L7)</f>
        <v>0</v>
      </c>
      <c r="U7" s="32">
        <f>MULTIPLY(I15,L7)</f>
        <v>0</v>
      </c>
      <c r="V7" s="33">
        <f>MULTIPLY(J15,L7)</f>
        <v>0</v>
      </c>
      <c r="W7" s="34">
        <f>MULTIPLY(K15,L7)</f>
        <v>0</v>
      </c>
    </row>
    <row r="8">
      <c r="A8" s="6">
        <v>4.0</v>
      </c>
      <c r="B8" s="17"/>
      <c r="C8" s="17"/>
      <c r="D8" s="17"/>
      <c r="E8" s="17"/>
      <c r="F8" s="18"/>
      <c r="G8" s="19"/>
      <c r="H8" s="20"/>
      <c r="I8" s="21"/>
      <c r="J8" s="22"/>
      <c r="K8" s="23"/>
      <c r="L8" s="24">
        <f t="shared" si="1"/>
        <v>0</v>
      </c>
      <c r="M8" s="6">
        <v>4.0</v>
      </c>
      <c r="N8" s="28">
        <f>MULTIPLY(B15,L8)</f>
        <v>0</v>
      </c>
      <c r="O8" s="28">
        <f>MULTIPLY(C15,L8)</f>
        <v>0</v>
      </c>
      <c r="P8" s="28">
        <f>MULTIPLY(D15,L8)</f>
        <v>0</v>
      </c>
      <c r="Q8" s="28">
        <f>MULTIPLY(E15,L8)</f>
        <v>0</v>
      </c>
      <c r="R8" s="29">
        <f>MULTIPLY(F15,L8)</f>
        <v>0</v>
      </c>
      <c r="S8" s="30">
        <f>MULTIPLY(G15,L8)</f>
        <v>0</v>
      </c>
      <c r="T8" s="31">
        <f>MULTIPLY(H15,L8)</f>
        <v>0</v>
      </c>
      <c r="U8" s="32">
        <f>MULTIPLY(I15,L8)</f>
        <v>0</v>
      </c>
      <c r="V8" s="33">
        <f>MULTIPLY(J15,L8)</f>
        <v>0</v>
      </c>
      <c r="W8" s="34">
        <f>MULTIPLY(K15,L8)</f>
        <v>0</v>
      </c>
    </row>
    <row r="9">
      <c r="A9" s="7">
        <v>5.0</v>
      </c>
      <c r="B9" s="18"/>
      <c r="C9" s="18"/>
      <c r="D9" s="18"/>
      <c r="E9" s="18"/>
      <c r="F9" s="18"/>
      <c r="G9" s="19"/>
      <c r="H9" s="20"/>
      <c r="I9" s="21"/>
      <c r="J9" s="22"/>
      <c r="K9" s="23"/>
      <c r="L9" s="24">
        <f t="shared" si="1"/>
        <v>0</v>
      </c>
      <c r="M9" s="7">
        <v>5.0</v>
      </c>
      <c r="N9" s="29">
        <f>MULTIPLY(B15,L9)</f>
        <v>0</v>
      </c>
      <c r="O9" s="29">
        <f>MULTIPLY(C15,L9)</f>
        <v>0</v>
      </c>
      <c r="P9" s="29">
        <f>MULTIPLY(D15,L9)</f>
        <v>0</v>
      </c>
      <c r="Q9" s="29">
        <f>MULTIPLY(E15,L9)</f>
        <v>0</v>
      </c>
      <c r="R9" s="29">
        <f>MULTIPLY(F15,L9)</f>
        <v>0</v>
      </c>
      <c r="S9" s="30">
        <f>MULTIPLY(G15,L9)</f>
        <v>0</v>
      </c>
      <c r="T9" s="31">
        <f>MULTIPLY(H15,L9)</f>
        <v>0</v>
      </c>
      <c r="U9" s="32">
        <f>MULTIPLY(I15,L9)</f>
        <v>0</v>
      </c>
      <c r="V9" s="33">
        <f>MULTIPLY(J15,L9)</f>
        <v>0</v>
      </c>
      <c r="W9" s="34">
        <f>MULTIPLY(K15,L9)</f>
        <v>0</v>
      </c>
    </row>
    <row r="10">
      <c r="A10" s="8">
        <v>6.0</v>
      </c>
      <c r="B10" s="19"/>
      <c r="C10" s="19"/>
      <c r="D10" s="19"/>
      <c r="E10" s="19"/>
      <c r="F10" s="19"/>
      <c r="G10" s="19"/>
      <c r="H10" s="20"/>
      <c r="I10" s="21"/>
      <c r="J10" s="22"/>
      <c r="K10" s="23"/>
      <c r="L10" s="24">
        <f t="shared" si="1"/>
        <v>0</v>
      </c>
      <c r="M10" s="8">
        <v>6.0</v>
      </c>
      <c r="N10" s="30">
        <f>MULTIPLY(B15,L10)</f>
        <v>0</v>
      </c>
      <c r="O10" s="30">
        <f>MULTIPLY(C15,L10)</f>
        <v>0</v>
      </c>
      <c r="P10" s="30">
        <f>MULTIPLY(D15,L10)</f>
        <v>0</v>
      </c>
      <c r="Q10" s="30">
        <f>MULTIPLY(E15,L10)</f>
        <v>0</v>
      </c>
      <c r="R10" s="30">
        <f>MULTIPLY(F15,L10)</f>
        <v>0</v>
      </c>
      <c r="S10" s="30">
        <f>MULTIPLY(G15,L10)</f>
        <v>0</v>
      </c>
      <c r="T10" s="31">
        <f>MULTIPLY(H15,L10)</f>
        <v>0</v>
      </c>
      <c r="U10" s="32">
        <f>MULTIPLY(I15,L10)</f>
        <v>0</v>
      </c>
      <c r="V10" s="33">
        <f>MULTIPLY(J15,L10)</f>
        <v>0</v>
      </c>
      <c r="W10" s="34">
        <f>MULTIPLY(K15,L10)</f>
        <v>0</v>
      </c>
    </row>
    <row r="11">
      <c r="A11" s="9">
        <v>7.0</v>
      </c>
      <c r="B11" s="20"/>
      <c r="C11" s="20"/>
      <c r="D11" s="20"/>
      <c r="E11" s="20"/>
      <c r="F11" s="20"/>
      <c r="G11" s="20"/>
      <c r="H11" s="20"/>
      <c r="I11" s="21"/>
      <c r="J11" s="22"/>
      <c r="K11" s="23"/>
      <c r="L11" s="24">
        <f t="shared" si="1"/>
        <v>0</v>
      </c>
      <c r="M11" s="9">
        <v>7.0</v>
      </c>
      <c r="N11" s="31">
        <f>MULTIPLY(B15,L11)</f>
        <v>0</v>
      </c>
      <c r="O11" s="31">
        <f>MULTIPLY(C15,L11)</f>
        <v>0</v>
      </c>
      <c r="P11" s="31">
        <f>MULTIPLY(D15,L11)</f>
        <v>0</v>
      </c>
      <c r="Q11" s="31">
        <f>MULTIPLY(E15,L11)</f>
        <v>0</v>
      </c>
      <c r="R11" s="31">
        <f>MULTIPLY(F15,L11)</f>
        <v>0</v>
      </c>
      <c r="S11" s="31">
        <f>MULTIPLY(G15,L11)</f>
        <v>0</v>
      </c>
      <c r="T11" s="31">
        <f>MULTIPLY(H15,L11)</f>
        <v>0</v>
      </c>
      <c r="U11" s="32">
        <f>MULTIPLY(I15,L11)</f>
        <v>0</v>
      </c>
      <c r="V11" s="33">
        <f>MULTIPLY(J15,L11)</f>
        <v>0</v>
      </c>
      <c r="W11" s="34">
        <f>MULTIPLY(K15,L11)</f>
        <v>0</v>
      </c>
    </row>
    <row r="12">
      <c r="A12" s="10">
        <v>8.0</v>
      </c>
      <c r="B12" s="21"/>
      <c r="C12" s="21"/>
      <c r="D12" s="21"/>
      <c r="E12" s="21"/>
      <c r="F12" s="21"/>
      <c r="G12" s="21"/>
      <c r="H12" s="21"/>
      <c r="I12" s="21"/>
      <c r="J12" s="22"/>
      <c r="K12" s="23"/>
      <c r="L12" s="24">
        <f t="shared" si="1"/>
        <v>0</v>
      </c>
      <c r="M12" s="10">
        <v>8.0</v>
      </c>
      <c r="N12" s="32">
        <f>MULTIPLY(B15,L12)</f>
        <v>0</v>
      </c>
      <c r="O12" s="32">
        <f>MULTIPLY(C15,L12)</f>
        <v>0</v>
      </c>
      <c r="P12" s="32">
        <f>MULTIPLY(D15,L12)</f>
        <v>0</v>
      </c>
      <c r="Q12" s="32">
        <f>MULTIPLY(E15,L12)</f>
        <v>0</v>
      </c>
      <c r="R12" s="32">
        <f>MULTIPLY(F15,L12)</f>
        <v>0</v>
      </c>
      <c r="S12" s="32">
        <f>MULTIPLY(G15,L12)</f>
        <v>0</v>
      </c>
      <c r="T12" s="32">
        <f>MULTIPLY(H15,L12)</f>
        <v>0</v>
      </c>
      <c r="U12" s="32">
        <f>MULTIPLY(I15,L12)</f>
        <v>0</v>
      </c>
      <c r="V12" s="33">
        <f>MULTIPLY(J15,L12)</f>
        <v>0</v>
      </c>
      <c r="W12" s="34">
        <f>MULTIPLY(K15,L12)</f>
        <v>0</v>
      </c>
    </row>
    <row r="13">
      <c r="A13" s="11">
        <v>9.0</v>
      </c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24">
        <f t="shared" si="1"/>
        <v>0</v>
      </c>
      <c r="M13" s="11">
        <v>9.0</v>
      </c>
      <c r="N13" s="33">
        <f>MULTIPLY(B15,L13)</f>
        <v>0</v>
      </c>
      <c r="O13" s="33">
        <f>MULTIPLY(C15,L13)</f>
        <v>0</v>
      </c>
      <c r="P13" s="33">
        <f>MULTIPLY(D15,L13)</f>
        <v>0</v>
      </c>
      <c r="Q13" s="33">
        <f>MULTIPLY(E15,L13)</f>
        <v>0</v>
      </c>
      <c r="R13" s="33">
        <f>MULTIPLY(F15,L13)</f>
        <v>0</v>
      </c>
      <c r="S13" s="33">
        <f>MULTIPLY(G15,L13)</f>
        <v>0</v>
      </c>
      <c r="T13" s="33">
        <f>MULTIPLY(H15,L13)</f>
        <v>0</v>
      </c>
      <c r="U13" s="33">
        <f>MULTIPLY(I15,L13)</f>
        <v>0</v>
      </c>
      <c r="V13" s="33">
        <f>MULTIPLY(J15,L13)</f>
        <v>0</v>
      </c>
      <c r="W13" s="34">
        <f>MULTIPLY(K15,L13)</f>
        <v>0</v>
      </c>
    </row>
    <row r="14">
      <c r="A14" s="12">
        <v>10.0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>
        <f t="shared" si="1"/>
        <v>0</v>
      </c>
      <c r="M14" s="12">
        <v>10.0</v>
      </c>
      <c r="N14" s="34">
        <f>MULTIPLY(B15,L14)</f>
        <v>0</v>
      </c>
      <c r="O14" s="34">
        <f>MULTIPLY(C15,L14)</f>
        <v>0</v>
      </c>
      <c r="P14" s="34">
        <f>MULTIPLY(D15,L14)</f>
        <v>0</v>
      </c>
      <c r="Q14" s="34">
        <f>MULTIPLY(E15,L14)</f>
        <v>0</v>
      </c>
      <c r="R14" s="34">
        <f>MULTIPLY(F15,L14)</f>
        <v>0</v>
      </c>
      <c r="S14" s="34">
        <f>MULTIPLY(G15,L14)</f>
        <v>0</v>
      </c>
      <c r="T14" s="34">
        <f>MULTIPLY(H15,L14)</f>
        <v>0</v>
      </c>
      <c r="U14" s="34">
        <f>MULTIPLY(I15,L14)</f>
        <v>0</v>
      </c>
      <c r="V14" s="34">
        <f>MULTIPLY(J15,L14)</f>
        <v>0</v>
      </c>
      <c r="W14" s="34">
        <f>MULTIPLY(K15,L14)</f>
        <v>0</v>
      </c>
    </row>
    <row r="15">
      <c r="A15" s="13" t="s">
        <v>13</v>
      </c>
      <c r="B15" s="44">
        <f t="shared" ref="B15:L15" si="2">Sum(B5:B14)</f>
        <v>461</v>
      </c>
      <c r="C15" s="44">
        <f t="shared" si="2"/>
        <v>2240</v>
      </c>
      <c r="D15" s="44">
        <f t="shared" si="2"/>
        <v>936</v>
      </c>
      <c r="E15" s="44">
        <f t="shared" si="2"/>
        <v>0</v>
      </c>
      <c r="F15" s="44">
        <f t="shared" si="2"/>
        <v>0</v>
      </c>
      <c r="G15" s="44">
        <f t="shared" si="2"/>
        <v>0</v>
      </c>
      <c r="H15" s="44">
        <f t="shared" si="2"/>
        <v>0</v>
      </c>
      <c r="I15" s="44">
        <f t="shared" si="2"/>
        <v>0</v>
      </c>
      <c r="J15" s="44">
        <f t="shared" si="2"/>
        <v>0</v>
      </c>
      <c r="K15" s="44">
        <f t="shared" si="2"/>
        <v>0</v>
      </c>
      <c r="L15" s="45">
        <f t="shared" si="2"/>
        <v>3637</v>
      </c>
      <c r="R15" s="46"/>
    </row>
    <row r="17">
      <c r="A17" s="2" t="s">
        <v>14</v>
      </c>
      <c r="N17" s="2" t="s">
        <v>15</v>
      </c>
    </row>
    <row r="18">
      <c r="B18" s="3" t="s">
        <v>3</v>
      </c>
      <c r="C18" s="4" t="s">
        <v>4</v>
      </c>
      <c r="D18" s="5" t="s">
        <v>5</v>
      </c>
      <c r="E18" s="6" t="s">
        <v>6</v>
      </c>
      <c r="F18" s="7" t="s">
        <v>7</v>
      </c>
      <c r="G18" s="8" t="s">
        <v>8</v>
      </c>
      <c r="H18" s="9" t="s">
        <v>9</v>
      </c>
      <c r="I18" s="10" t="s">
        <v>10</v>
      </c>
      <c r="J18" s="11" t="s">
        <v>11</v>
      </c>
      <c r="K18" s="12" t="s">
        <v>12</v>
      </c>
      <c r="N18" s="3" t="s">
        <v>3</v>
      </c>
      <c r="O18" s="4" t="s">
        <v>4</v>
      </c>
      <c r="P18" s="5" t="s">
        <v>5</v>
      </c>
      <c r="Q18" s="6" t="s">
        <v>6</v>
      </c>
      <c r="R18" s="7" t="s">
        <v>7</v>
      </c>
      <c r="S18" s="8" t="s">
        <v>8</v>
      </c>
      <c r="T18" s="9" t="s">
        <v>9</v>
      </c>
      <c r="U18" s="10" t="s">
        <v>10</v>
      </c>
      <c r="V18" s="11" t="s">
        <v>11</v>
      </c>
      <c r="W18" s="12" t="s">
        <v>12</v>
      </c>
    </row>
    <row r="19">
      <c r="A19" s="3">
        <v>1.0</v>
      </c>
      <c r="B19" s="25">
        <f>divide(N5,L15)</f>
        <v>300.1506736</v>
      </c>
      <c r="C19" s="26">
        <f>divide(O5,L15)</f>
        <v>1458.432774</v>
      </c>
      <c r="D19" s="27">
        <f>divide(P5,L15)</f>
        <v>609.4165521</v>
      </c>
      <c r="E19" s="28">
        <f>divide(Q5,L15)</f>
        <v>0</v>
      </c>
      <c r="F19" s="29">
        <f>divide(R5,L15)</f>
        <v>0</v>
      </c>
      <c r="G19" s="30">
        <f>divide(S5,L15)</f>
        <v>0</v>
      </c>
      <c r="H19" s="31">
        <f>divide(T5,L15)</f>
        <v>0</v>
      </c>
      <c r="I19" s="32">
        <f>divide(U5,L15)</f>
        <v>0</v>
      </c>
      <c r="J19" s="33">
        <f>divide(V5,L15)</f>
        <v>0</v>
      </c>
      <c r="K19" s="34">
        <f>divide(W5,L15)</f>
        <v>0</v>
      </c>
      <c r="M19" s="3">
        <v>1.0</v>
      </c>
      <c r="N19" s="14">
        <f t="shared" ref="N19:W19" si="3">B5-B19 </f>
        <v>-5.150673632</v>
      </c>
      <c r="O19" s="15">
        <f t="shared" si="3"/>
        <v>-111.4327743</v>
      </c>
      <c r="P19" s="16">
        <f t="shared" si="3"/>
        <v>116.5834479</v>
      </c>
      <c r="Q19" s="17">
        <f t="shared" si="3"/>
        <v>0</v>
      </c>
      <c r="R19" s="18">
        <f t="shared" si="3"/>
        <v>0</v>
      </c>
      <c r="S19" s="19">
        <f t="shared" si="3"/>
        <v>0</v>
      </c>
      <c r="T19" s="20">
        <f t="shared" si="3"/>
        <v>0</v>
      </c>
      <c r="U19" s="21">
        <f t="shared" si="3"/>
        <v>0</v>
      </c>
      <c r="V19" s="22">
        <f t="shared" si="3"/>
        <v>0</v>
      </c>
      <c r="W19" s="23">
        <f t="shared" si="3"/>
        <v>0</v>
      </c>
    </row>
    <row r="20">
      <c r="A20" s="4">
        <v>2.0</v>
      </c>
      <c r="B20" s="26">
        <f>divide(N6,L15)</f>
        <v>135.8790212</v>
      </c>
      <c r="C20" s="26">
        <f>divide(O6,L15)</f>
        <v>660.2364586</v>
      </c>
      <c r="D20" s="27">
        <f>divide(P6,L15)</f>
        <v>275.8845202</v>
      </c>
      <c r="E20" s="28">
        <f>divide(Q6,L15)</f>
        <v>0</v>
      </c>
      <c r="F20" s="29">
        <f>divide(R6,L15)</f>
        <v>0</v>
      </c>
      <c r="G20" s="30">
        <f>divide(S6,L15)</f>
        <v>0</v>
      </c>
      <c r="H20" s="31">
        <f>divide(T6,L15)</f>
        <v>0</v>
      </c>
      <c r="I20" s="32">
        <f>divide(U6,L15)</f>
        <v>0</v>
      </c>
      <c r="J20" s="33">
        <f>divide(V6,L15)</f>
        <v>0</v>
      </c>
      <c r="K20" s="34">
        <f>divide(W6,L15)</f>
        <v>0</v>
      </c>
      <c r="M20" s="4">
        <v>2.0</v>
      </c>
      <c r="N20" s="15">
        <f t="shared" ref="N20:W20" si="4">B6-B20 </f>
        <v>-59.87902117</v>
      </c>
      <c r="O20" s="15">
        <f t="shared" si="4"/>
        <v>215.7635414</v>
      </c>
      <c r="P20" s="16">
        <f t="shared" si="4"/>
        <v>-155.8845202</v>
      </c>
      <c r="Q20" s="17">
        <f t="shared" si="4"/>
        <v>0</v>
      </c>
      <c r="R20" s="18">
        <f t="shared" si="4"/>
        <v>0</v>
      </c>
      <c r="S20" s="19">
        <f t="shared" si="4"/>
        <v>0</v>
      </c>
      <c r="T20" s="20">
        <f t="shared" si="4"/>
        <v>0</v>
      </c>
      <c r="U20" s="21">
        <f t="shared" si="4"/>
        <v>0</v>
      </c>
      <c r="V20" s="22">
        <f t="shared" si="4"/>
        <v>0</v>
      </c>
      <c r="W20" s="23">
        <f t="shared" si="4"/>
        <v>0</v>
      </c>
    </row>
    <row r="21">
      <c r="A21" s="5">
        <v>3.0</v>
      </c>
      <c r="B21" s="27">
        <f>divide(N7,L15)</f>
        <v>24.9703052</v>
      </c>
      <c r="C21" s="27">
        <f>divide(O7,L15)</f>
        <v>121.3307671</v>
      </c>
      <c r="D21" s="27">
        <f>divide(P7,L15)</f>
        <v>50.69892769</v>
      </c>
      <c r="E21" s="28">
        <f>divide(Q7,L15)</f>
        <v>0</v>
      </c>
      <c r="F21" s="29">
        <f>divide(R7,L15)</f>
        <v>0</v>
      </c>
      <c r="G21" s="30">
        <f>divide(S7,L15)</f>
        <v>0</v>
      </c>
      <c r="H21" s="31">
        <f>divide(T7,L15)</f>
        <v>0</v>
      </c>
      <c r="I21" s="32">
        <f>divide(U7,L15)</f>
        <v>0</v>
      </c>
      <c r="J21" s="33">
        <f>divide(V7,L15)</f>
        <v>0</v>
      </c>
      <c r="K21" s="34">
        <f>divide(W7,L15)</f>
        <v>0</v>
      </c>
      <c r="M21" s="5">
        <v>3.0</v>
      </c>
      <c r="N21" s="27">
        <f t="shared" ref="N21:W21" si="5">B7-B21 </f>
        <v>65.0296948</v>
      </c>
      <c r="O21" s="27">
        <f t="shared" si="5"/>
        <v>-104.3307671</v>
      </c>
      <c r="P21" s="27">
        <f t="shared" si="5"/>
        <v>39.30107231</v>
      </c>
      <c r="Q21" s="28">
        <f t="shared" si="5"/>
        <v>0</v>
      </c>
      <c r="R21" s="29">
        <f t="shared" si="5"/>
        <v>0</v>
      </c>
      <c r="S21" s="30">
        <f t="shared" si="5"/>
        <v>0</v>
      </c>
      <c r="T21" s="31">
        <f t="shared" si="5"/>
        <v>0</v>
      </c>
      <c r="U21" s="32">
        <f t="shared" si="5"/>
        <v>0</v>
      </c>
      <c r="V21" s="33">
        <f t="shared" si="5"/>
        <v>0</v>
      </c>
      <c r="W21" s="34">
        <f t="shared" si="5"/>
        <v>0</v>
      </c>
    </row>
    <row r="22">
      <c r="A22" s="6">
        <v>4.0</v>
      </c>
      <c r="B22" s="28">
        <f>divide(N8,L15)</f>
        <v>0</v>
      </c>
      <c r="C22" s="28">
        <f>divide(O8,L15)</f>
        <v>0</v>
      </c>
      <c r="D22" s="28">
        <f>divide(P8,L15)</f>
        <v>0</v>
      </c>
      <c r="E22" s="28">
        <f>divide(Q8,L15)</f>
        <v>0</v>
      </c>
      <c r="F22" s="29">
        <f>divide(R8,L15)</f>
        <v>0</v>
      </c>
      <c r="G22" s="30">
        <f>divide(S8,L15)</f>
        <v>0</v>
      </c>
      <c r="H22" s="31">
        <f>divide(T8,L15)</f>
        <v>0</v>
      </c>
      <c r="I22" s="32">
        <f>divide(U8,L15)</f>
        <v>0</v>
      </c>
      <c r="J22" s="33">
        <f>divide(V8,L15)</f>
        <v>0</v>
      </c>
      <c r="K22" s="34">
        <f>divide(W8,L15)</f>
        <v>0</v>
      </c>
      <c r="M22" s="6">
        <v>4.0</v>
      </c>
      <c r="N22" s="28">
        <f t="shared" ref="N22:W22" si="6">B8-B22 </f>
        <v>0</v>
      </c>
      <c r="O22" s="28">
        <f t="shared" si="6"/>
        <v>0</v>
      </c>
      <c r="P22" s="28">
        <f t="shared" si="6"/>
        <v>0</v>
      </c>
      <c r="Q22" s="28">
        <f t="shared" si="6"/>
        <v>0</v>
      </c>
      <c r="R22" s="29">
        <f t="shared" si="6"/>
        <v>0</v>
      </c>
      <c r="S22" s="30">
        <f t="shared" si="6"/>
        <v>0</v>
      </c>
      <c r="T22" s="31">
        <f t="shared" si="6"/>
        <v>0</v>
      </c>
      <c r="U22" s="32">
        <f t="shared" si="6"/>
        <v>0</v>
      </c>
      <c r="V22" s="33">
        <f t="shared" si="6"/>
        <v>0</v>
      </c>
      <c r="W22" s="34">
        <f t="shared" si="6"/>
        <v>0</v>
      </c>
    </row>
    <row r="23">
      <c r="A23" s="7">
        <v>5.0</v>
      </c>
      <c r="B23" s="29">
        <f>divide(N9,L15)</f>
        <v>0</v>
      </c>
      <c r="C23" s="29">
        <f>divide(O9,L15)</f>
        <v>0</v>
      </c>
      <c r="D23" s="29">
        <f>divide(P9,L15)</f>
        <v>0</v>
      </c>
      <c r="E23" s="29">
        <f>divide(Q9,L15)</f>
        <v>0</v>
      </c>
      <c r="F23" s="29">
        <f>divide(R9,L15)</f>
        <v>0</v>
      </c>
      <c r="G23" s="30">
        <f>divide(S9,L15)</f>
        <v>0</v>
      </c>
      <c r="H23" s="31">
        <f>divide(T9,L15)</f>
        <v>0</v>
      </c>
      <c r="I23" s="32">
        <f>divide(U9,L15)</f>
        <v>0</v>
      </c>
      <c r="J23" s="33">
        <f>divide(V9,L15)</f>
        <v>0</v>
      </c>
      <c r="K23" s="34">
        <f>divide(W9,L15)</f>
        <v>0</v>
      </c>
      <c r="M23" s="7">
        <v>5.0</v>
      </c>
      <c r="N23" s="29">
        <f t="shared" ref="N23:W23" si="7">B9-B23 </f>
        <v>0</v>
      </c>
      <c r="O23" s="29">
        <f t="shared" si="7"/>
        <v>0</v>
      </c>
      <c r="P23" s="29">
        <f t="shared" si="7"/>
        <v>0</v>
      </c>
      <c r="Q23" s="29">
        <f t="shared" si="7"/>
        <v>0</v>
      </c>
      <c r="R23" s="29">
        <f t="shared" si="7"/>
        <v>0</v>
      </c>
      <c r="S23" s="30">
        <f t="shared" si="7"/>
        <v>0</v>
      </c>
      <c r="T23" s="31">
        <f t="shared" si="7"/>
        <v>0</v>
      </c>
      <c r="U23" s="32">
        <f t="shared" si="7"/>
        <v>0</v>
      </c>
      <c r="V23" s="33">
        <f t="shared" si="7"/>
        <v>0</v>
      </c>
      <c r="W23" s="34">
        <f t="shared" si="7"/>
        <v>0</v>
      </c>
    </row>
    <row r="24">
      <c r="A24" s="8">
        <v>6.0</v>
      </c>
      <c r="B24" s="30">
        <f>divide(N10,L15)</f>
        <v>0</v>
      </c>
      <c r="C24" s="30">
        <f>divide(O10,L15)</f>
        <v>0</v>
      </c>
      <c r="D24" s="30">
        <f>divide(P10,L15)</f>
        <v>0</v>
      </c>
      <c r="E24" s="30">
        <f>divide(Q10,L15)</f>
        <v>0</v>
      </c>
      <c r="F24" s="30">
        <f>divide(R10,L15)</f>
        <v>0</v>
      </c>
      <c r="G24" s="30">
        <f>divide(S10,L15)</f>
        <v>0</v>
      </c>
      <c r="H24" s="31">
        <f>divide(T10,L15)</f>
        <v>0</v>
      </c>
      <c r="I24" s="32">
        <f>divide(U10,L15)</f>
        <v>0</v>
      </c>
      <c r="J24" s="33">
        <f>divide(V10,L15)</f>
        <v>0</v>
      </c>
      <c r="K24" s="34">
        <f>divide(W10,L15)</f>
        <v>0</v>
      </c>
      <c r="M24" s="8">
        <v>6.0</v>
      </c>
      <c r="N24" s="30">
        <f t="shared" ref="N24:W24" si="8">B10-B24 </f>
        <v>0</v>
      </c>
      <c r="O24" s="30">
        <f t="shared" si="8"/>
        <v>0</v>
      </c>
      <c r="P24" s="30">
        <f t="shared" si="8"/>
        <v>0</v>
      </c>
      <c r="Q24" s="30">
        <f t="shared" si="8"/>
        <v>0</v>
      </c>
      <c r="R24" s="30">
        <f t="shared" si="8"/>
        <v>0</v>
      </c>
      <c r="S24" s="30">
        <f t="shared" si="8"/>
        <v>0</v>
      </c>
      <c r="T24" s="31">
        <f t="shared" si="8"/>
        <v>0</v>
      </c>
      <c r="U24" s="32">
        <f t="shared" si="8"/>
        <v>0</v>
      </c>
      <c r="V24" s="33">
        <f t="shared" si="8"/>
        <v>0</v>
      </c>
      <c r="W24" s="34">
        <f t="shared" si="8"/>
        <v>0</v>
      </c>
    </row>
    <row r="25">
      <c r="A25" s="9">
        <v>7.0</v>
      </c>
      <c r="B25" s="31">
        <f>divide(N11,L15)</f>
        <v>0</v>
      </c>
      <c r="C25" s="31">
        <f>divide(O11,L15)</f>
        <v>0</v>
      </c>
      <c r="D25" s="31">
        <f>divide(P11,L15)</f>
        <v>0</v>
      </c>
      <c r="E25" s="31">
        <f>divide(Q11,L15)</f>
        <v>0</v>
      </c>
      <c r="F25" s="31">
        <f>divide(R11,L15)</f>
        <v>0</v>
      </c>
      <c r="G25" s="31">
        <f>divide(S11,L15)</f>
        <v>0</v>
      </c>
      <c r="H25" s="31">
        <f>divide(T11,L15)</f>
        <v>0</v>
      </c>
      <c r="I25" s="32">
        <f>divide(U11,L15)</f>
        <v>0</v>
      </c>
      <c r="J25" s="33">
        <f>divide(V11,L15)</f>
        <v>0</v>
      </c>
      <c r="K25" s="34">
        <f>divide(W11,L15)</f>
        <v>0</v>
      </c>
      <c r="M25" s="9">
        <v>7.0</v>
      </c>
      <c r="N25" s="31">
        <f t="shared" ref="N25:W25" si="9">B11-B25 </f>
        <v>0</v>
      </c>
      <c r="O25" s="31">
        <f t="shared" si="9"/>
        <v>0</v>
      </c>
      <c r="P25" s="31">
        <f t="shared" si="9"/>
        <v>0</v>
      </c>
      <c r="Q25" s="31">
        <f t="shared" si="9"/>
        <v>0</v>
      </c>
      <c r="R25" s="31">
        <f t="shared" si="9"/>
        <v>0</v>
      </c>
      <c r="S25" s="31">
        <f t="shared" si="9"/>
        <v>0</v>
      </c>
      <c r="T25" s="31">
        <f t="shared" si="9"/>
        <v>0</v>
      </c>
      <c r="U25" s="32">
        <f t="shared" si="9"/>
        <v>0</v>
      </c>
      <c r="V25" s="33">
        <f t="shared" si="9"/>
        <v>0</v>
      </c>
      <c r="W25" s="34">
        <f t="shared" si="9"/>
        <v>0</v>
      </c>
    </row>
    <row r="26">
      <c r="A26" s="10">
        <v>8.0</v>
      </c>
      <c r="B26" s="32">
        <f>divide(N12,L15)</f>
        <v>0</v>
      </c>
      <c r="C26" s="32">
        <f>divide(O12,L15)</f>
        <v>0</v>
      </c>
      <c r="D26" s="32">
        <f>divide(P12,L15)</f>
        <v>0</v>
      </c>
      <c r="E26" s="32">
        <f>divide(Q12,L15)</f>
        <v>0</v>
      </c>
      <c r="F26" s="32">
        <f>divide(R12,L15)</f>
        <v>0</v>
      </c>
      <c r="G26" s="32">
        <f>divide(S12,L15)</f>
        <v>0</v>
      </c>
      <c r="H26" s="32">
        <f>divide(T12,L15)</f>
        <v>0</v>
      </c>
      <c r="I26" s="32">
        <f>divide(U12,L15)</f>
        <v>0</v>
      </c>
      <c r="J26" s="33">
        <f>divide(V12,L15)</f>
        <v>0</v>
      </c>
      <c r="K26" s="34">
        <f>divide(W12,L15)</f>
        <v>0</v>
      </c>
      <c r="M26" s="10">
        <v>8.0</v>
      </c>
      <c r="N26" s="32">
        <f t="shared" ref="N26:W26" si="10">B12-B26 </f>
        <v>0</v>
      </c>
      <c r="O26" s="32">
        <f t="shared" si="10"/>
        <v>0</v>
      </c>
      <c r="P26" s="32">
        <f t="shared" si="10"/>
        <v>0</v>
      </c>
      <c r="Q26" s="32">
        <f t="shared" si="10"/>
        <v>0</v>
      </c>
      <c r="R26" s="32">
        <f t="shared" si="10"/>
        <v>0</v>
      </c>
      <c r="S26" s="32">
        <f t="shared" si="10"/>
        <v>0</v>
      </c>
      <c r="T26" s="32">
        <f t="shared" si="10"/>
        <v>0</v>
      </c>
      <c r="U26" s="32">
        <f t="shared" si="10"/>
        <v>0</v>
      </c>
      <c r="V26" s="33">
        <f t="shared" si="10"/>
        <v>0</v>
      </c>
      <c r="W26" s="34">
        <f t="shared" si="10"/>
        <v>0</v>
      </c>
    </row>
    <row r="27">
      <c r="A27" s="11">
        <v>9.0</v>
      </c>
      <c r="B27" s="33">
        <f>divide(N13,L15)</f>
        <v>0</v>
      </c>
      <c r="C27" s="33">
        <f>divide(O13,L15)</f>
        <v>0</v>
      </c>
      <c r="D27" s="33">
        <f>divide(P13,L15)</f>
        <v>0</v>
      </c>
      <c r="E27" s="33">
        <f>divide(Q13,L15)</f>
        <v>0</v>
      </c>
      <c r="F27" s="33">
        <f>divide(R13,L15)</f>
        <v>0</v>
      </c>
      <c r="G27" s="33">
        <f>divide(S13,L15)</f>
        <v>0</v>
      </c>
      <c r="H27" s="33">
        <f>divide(T13,L15)</f>
        <v>0</v>
      </c>
      <c r="I27" s="33">
        <f>divide(U13,L15)</f>
        <v>0</v>
      </c>
      <c r="J27" s="33">
        <f>divide(V13,L15)</f>
        <v>0</v>
      </c>
      <c r="K27" s="34">
        <f>divide(W13,L15)</f>
        <v>0</v>
      </c>
      <c r="M27" s="11">
        <v>9.0</v>
      </c>
      <c r="N27" s="33">
        <f t="shared" ref="N27:W27" si="11">B13-B27 </f>
        <v>0</v>
      </c>
      <c r="O27" s="33">
        <f t="shared" si="11"/>
        <v>0</v>
      </c>
      <c r="P27" s="33">
        <f t="shared" si="11"/>
        <v>0</v>
      </c>
      <c r="Q27" s="33">
        <f t="shared" si="11"/>
        <v>0</v>
      </c>
      <c r="R27" s="33">
        <f t="shared" si="11"/>
        <v>0</v>
      </c>
      <c r="S27" s="33">
        <f t="shared" si="11"/>
        <v>0</v>
      </c>
      <c r="T27" s="33">
        <f t="shared" si="11"/>
        <v>0</v>
      </c>
      <c r="U27" s="33">
        <f t="shared" si="11"/>
        <v>0</v>
      </c>
      <c r="V27" s="33">
        <f t="shared" si="11"/>
        <v>0</v>
      </c>
      <c r="W27" s="34">
        <f t="shared" si="11"/>
        <v>0</v>
      </c>
    </row>
    <row r="28">
      <c r="A28" s="12">
        <v>10.0</v>
      </c>
      <c r="B28" s="34">
        <f>divide(N14,L15)</f>
        <v>0</v>
      </c>
      <c r="C28" s="34">
        <f>divide(O14,L15)</f>
        <v>0</v>
      </c>
      <c r="D28" s="34">
        <f>divide(P14,L15)</f>
        <v>0</v>
      </c>
      <c r="E28" s="34">
        <f>divide(Q14,L15)</f>
        <v>0</v>
      </c>
      <c r="F28" s="34">
        <f>divide(R14,L15)</f>
        <v>0</v>
      </c>
      <c r="G28" s="34">
        <f>divide(S14,L15)</f>
        <v>0</v>
      </c>
      <c r="H28" s="34">
        <f>divide(T14,L15)</f>
        <v>0</v>
      </c>
      <c r="I28" s="34">
        <f>divide(U14,L15)</f>
        <v>0</v>
      </c>
      <c r="J28" s="34">
        <f>divide(V14,L15)</f>
        <v>0</v>
      </c>
      <c r="K28" s="34">
        <f>divide(W14,L15)</f>
        <v>0</v>
      </c>
      <c r="M28" s="12">
        <v>10.0</v>
      </c>
      <c r="N28" s="34">
        <f t="shared" ref="N28:W28" si="12">B14-B28 </f>
        <v>0</v>
      </c>
      <c r="O28" s="34">
        <f t="shared" si="12"/>
        <v>0</v>
      </c>
      <c r="P28" s="34">
        <f t="shared" si="12"/>
        <v>0</v>
      </c>
      <c r="Q28" s="34">
        <f t="shared" si="12"/>
        <v>0</v>
      </c>
      <c r="R28" s="34">
        <f t="shared" si="12"/>
        <v>0</v>
      </c>
      <c r="S28" s="34">
        <f t="shared" si="12"/>
        <v>0</v>
      </c>
      <c r="T28" s="34">
        <f t="shared" si="12"/>
        <v>0</v>
      </c>
      <c r="U28" s="34">
        <f t="shared" si="12"/>
        <v>0</v>
      </c>
      <c r="V28" s="34">
        <f t="shared" si="12"/>
        <v>0</v>
      </c>
      <c r="W28" s="34">
        <f t="shared" si="12"/>
        <v>0</v>
      </c>
    </row>
    <row r="30">
      <c r="A30" s="2" t="s">
        <v>16</v>
      </c>
      <c r="N30" s="2" t="s">
        <v>17</v>
      </c>
    </row>
    <row r="31">
      <c r="B31" s="3" t="s">
        <v>3</v>
      </c>
      <c r="C31" s="4" t="s">
        <v>4</v>
      </c>
      <c r="D31" s="5" t="s">
        <v>5</v>
      </c>
      <c r="E31" s="6" t="s">
        <v>6</v>
      </c>
      <c r="F31" s="7" t="s">
        <v>7</v>
      </c>
      <c r="G31" s="8" t="s">
        <v>8</v>
      </c>
      <c r="H31" s="9" t="s">
        <v>9</v>
      </c>
      <c r="I31" s="10" t="s">
        <v>10</v>
      </c>
      <c r="J31" s="11" t="s">
        <v>11</v>
      </c>
      <c r="K31" s="12" t="s">
        <v>12</v>
      </c>
      <c r="N31" s="3" t="s">
        <v>3</v>
      </c>
      <c r="O31" s="4" t="s">
        <v>4</v>
      </c>
      <c r="P31" s="5" t="s">
        <v>5</v>
      </c>
      <c r="Q31" s="6" t="s">
        <v>6</v>
      </c>
      <c r="R31" s="7" t="s">
        <v>7</v>
      </c>
      <c r="S31" s="8" t="s">
        <v>8</v>
      </c>
      <c r="T31" s="9" t="s">
        <v>9</v>
      </c>
      <c r="U31" s="10" t="s">
        <v>10</v>
      </c>
      <c r="V31" s="11" t="s">
        <v>11</v>
      </c>
      <c r="W31" s="12" t="s">
        <v>12</v>
      </c>
    </row>
    <row r="32">
      <c r="A32" s="3">
        <v>1.0</v>
      </c>
      <c r="B32" s="14">
        <f t="shared" ref="B32:C32" si="13">divide(N32,B19)</f>
        <v>0.08838707088</v>
      </c>
      <c r="C32" s="15">
        <f t="shared" si="13"/>
        <v>8.514114191</v>
      </c>
      <c r="D32" s="16">
        <f t="shared" ref="D32:K32" si="14">iferror(divide(P32,D19),"")</f>
        <v>22.30280795</v>
      </c>
      <c r="E32" s="17" t="str">
        <f t="shared" si="14"/>
        <v/>
      </c>
      <c r="F32" s="18" t="str">
        <f t="shared" si="14"/>
        <v/>
      </c>
      <c r="G32" s="19" t="str">
        <f t="shared" si="14"/>
        <v/>
      </c>
      <c r="H32" s="20" t="str">
        <f t="shared" si="14"/>
        <v/>
      </c>
      <c r="I32" s="21" t="str">
        <f t="shared" si="14"/>
        <v/>
      </c>
      <c r="J32" s="22" t="str">
        <f t="shared" si="14"/>
        <v/>
      </c>
      <c r="K32" s="23" t="str">
        <f t="shared" si="14"/>
        <v/>
      </c>
      <c r="M32" s="3">
        <v>1.0</v>
      </c>
      <c r="N32" s="14">
        <f t="shared" ref="N32:W32" si="15">power(N19,2)</f>
        <v>26.52943886</v>
      </c>
      <c r="O32" s="15">
        <f t="shared" si="15"/>
        <v>12417.26318</v>
      </c>
      <c r="P32" s="16">
        <f t="shared" si="15"/>
        <v>13591.70032</v>
      </c>
      <c r="Q32" s="17">
        <f t="shared" si="15"/>
        <v>0</v>
      </c>
      <c r="R32" s="18">
        <f t="shared" si="15"/>
        <v>0</v>
      </c>
      <c r="S32" s="19">
        <f t="shared" si="15"/>
        <v>0</v>
      </c>
      <c r="T32" s="20">
        <f t="shared" si="15"/>
        <v>0</v>
      </c>
      <c r="U32" s="21">
        <f t="shared" si="15"/>
        <v>0</v>
      </c>
      <c r="V32" s="22">
        <f t="shared" si="15"/>
        <v>0</v>
      </c>
      <c r="W32" s="23">
        <f t="shared" si="15"/>
        <v>0</v>
      </c>
    </row>
    <row r="33">
      <c r="A33" s="4">
        <v>2.0</v>
      </c>
      <c r="B33" s="15">
        <f t="shared" ref="B33:C33" si="16">divide(N33,B20)</f>
        <v>26.38742276</v>
      </c>
      <c r="C33" s="15">
        <f t="shared" si="16"/>
        <v>70.51095889</v>
      </c>
      <c r="D33" s="16">
        <f t="shared" ref="D33:K33" si="17">iferror(divide(P33,D20),"")</f>
        <v>88.08027222</v>
      </c>
      <c r="E33" s="17" t="str">
        <f t="shared" si="17"/>
        <v/>
      </c>
      <c r="F33" s="18" t="str">
        <f t="shared" si="17"/>
        <v/>
      </c>
      <c r="G33" s="19" t="str">
        <f t="shared" si="17"/>
        <v/>
      </c>
      <c r="H33" s="20" t="str">
        <f t="shared" si="17"/>
        <v/>
      </c>
      <c r="I33" s="21" t="str">
        <f t="shared" si="17"/>
        <v/>
      </c>
      <c r="J33" s="22" t="str">
        <f t="shared" si="17"/>
        <v/>
      </c>
      <c r="K33" s="23" t="str">
        <f t="shared" si="17"/>
        <v/>
      </c>
      <c r="M33" s="4">
        <v>2.0</v>
      </c>
      <c r="N33" s="15">
        <f t="shared" ref="N33:W33" si="18">power(N20,2)</f>
        <v>3585.497176</v>
      </c>
      <c r="O33" s="15">
        <f t="shared" si="18"/>
        <v>46553.90579</v>
      </c>
      <c r="P33" s="16">
        <f t="shared" si="18"/>
        <v>24299.98364</v>
      </c>
      <c r="Q33" s="17">
        <f t="shared" si="18"/>
        <v>0</v>
      </c>
      <c r="R33" s="18">
        <f t="shared" si="18"/>
        <v>0</v>
      </c>
      <c r="S33" s="19">
        <f t="shared" si="18"/>
        <v>0</v>
      </c>
      <c r="T33" s="20">
        <f t="shared" si="18"/>
        <v>0</v>
      </c>
      <c r="U33" s="21">
        <f t="shared" si="18"/>
        <v>0</v>
      </c>
      <c r="V33" s="22">
        <f t="shared" si="18"/>
        <v>0</v>
      </c>
      <c r="W33" s="23">
        <f t="shared" si="18"/>
        <v>0</v>
      </c>
    </row>
    <row r="34">
      <c r="A34" s="5">
        <v>3.0</v>
      </c>
      <c r="B34" s="27">
        <f t="shared" ref="B34:K34" si="19">iferror(divide(N34,B21),"")</f>
        <v>169.3556075</v>
      </c>
      <c r="C34" s="27">
        <f t="shared" si="19"/>
        <v>89.71268563</v>
      </c>
      <c r="D34" s="27">
        <f t="shared" si="19"/>
        <v>30.46562039</v>
      </c>
      <c r="E34" s="28" t="str">
        <f t="shared" si="19"/>
        <v/>
      </c>
      <c r="F34" s="29" t="str">
        <f t="shared" si="19"/>
        <v/>
      </c>
      <c r="G34" s="30" t="str">
        <f t="shared" si="19"/>
        <v/>
      </c>
      <c r="H34" s="31" t="str">
        <f t="shared" si="19"/>
        <v/>
      </c>
      <c r="I34" s="32" t="str">
        <f t="shared" si="19"/>
        <v/>
      </c>
      <c r="J34" s="33" t="str">
        <f t="shared" si="19"/>
        <v/>
      </c>
      <c r="K34" s="34" t="str">
        <f t="shared" si="19"/>
        <v/>
      </c>
      <c r="M34" s="5">
        <v>3.0</v>
      </c>
      <c r="N34" s="27">
        <f t="shared" ref="N34:W34" si="20">power(N21,2)</f>
        <v>4228.861206</v>
      </c>
      <c r="O34" s="27">
        <f t="shared" si="20"/>
        <v>10884.90897</v>
      </c>
      <c r="P34" s="27">
        <f t="shared" si="20"/>
        <v>1544.574285</v>
      </c>
      <c r="Q34" s="28">
        <f t="shared" si="20"/>
        <v>0</v>
      </c>
      <c r="R34" s="29">
        <f t="shared" si="20"/>
        <v>0</v>
      </c>
      <c r="S34" s="30">
        <f t="shared" si="20"/>
        <v>0</v>
      </c>
      <c r="T34" s="31">
        <f t="shared" si="20"/>
        <v>0</v>
      </c>
      <c r="U34" s="32">
        <f t="shared" si="20"/>
        <v>0</v>
      </c>
      <c r="V34" s="33">
        <f t="shared" si="20"/>
        <v>0</v>
      </c>
      <c r="W34" s="34">
        <f t="shared" si="20"/>
        <v>0</v>
      </c>
    </row>
    <row r="35">
      <c r="A35" s="6">
        <v>4.0</v>
      </c>
      <c r="B35" s="28" t="str">
        <f t="shared" ref="B35:K35" si="21">iferror(divide(N35,B22),"")</f>
        <v/>
      </c>
      <c r="C35" s="28" t="str">
        <f t="shared" si="21"/>
        <v/>
      </c>
      <c r="D35" s="28" t="str">
        <f t="shared" si="21"/>
        <v/>
      </c>
      <c r="E35" s="28" t="str">
        <f t="shared" si="21"/>
        <v/>
      </c>
      <c r="F35" s="29" t="str">
        <f t="shared" si="21"/>
        <v/>
      </c>
      <c r="G35" s="30" t="str">
        <f t="shared" si="21"/>
        <v/>
      </c>
      <c r="H35" s="31" t="str">
        <f t="shared" si="21"/>
        <v/>
      </c>
      <c r="I35" s="32" t="str">
        <f t="shared" si="21"/>
        <v/>
      </c>
      <c r="J35" s="33" t="str">
        <f t="shared" si="21"/>
        <v/>
      </c>
      <c r="K35" s="34" t="str">
        <f t="shared" si="21"/>
        <v/>
      </c>
      <c r="M35" s="6">
        <v>4.0</v>
      </c>
      <c r="N35" s="28">
        <f t="shared" ref="N35:W35" si="22">power(N22,2)</f>
        <v>0</v>
      </c>
      <c r="O35" s="28">
        <f t="shared" si="22"/>
        <v>0</v>
      </c>
      <c r="P35" s="28">
        <f t="shared" si="22"/>
        <v>0</v>
      </c>
      <c r="Q35" s="28">
        <f t="shared" si="22"/>
        <v>0</v>
      </c>
      <c r="R35" s="29">
        <f t="shared" si="22"/>
        <v>0</v>
      </c>
      <c r="S35" s="30">
        <f t="shared" si="22"/>
        <v>0</v>
      </c>
      <c r="T35" s="31">
        <f t="shared" si="22"/>
        <v>0</v>
      </c>
      <c r="U35" s="32">
        <f t="shared" si="22"/>
        <v>0</v>
      </c>
      <c r="V35" s="33">
        <f t="shared" si="22"/>
        <v>0</v>
      </c>
      <c r="W35" s="34">
        <f t="shared" si="22"/>
        <v>0</v>
      </c>
    </row>
    <row r="36">
      <c r="A36" s="7">
        <v>5.0</v>
      </c>
      <c r="B36" s="29" t="str">
        <f t="shared" ref="B36:K36" si="23">iferror(divide(N36,B23),"")</f>
        <v/>
      </c>
      <c r="C36" s="29" t="str">
        <f t="shared" si="23"/>
        <v/>
      </c>
      <c r="D36" s="29" t="str">
        <f t="shared" si="23"/>
        <v/>
      </c>
      <c r="E36" s="29" t="str">
        <f t="shared" si="23"/>
        <v/>
      </c>
      <c r="F36" s="29" t="str">
        <f t="shared" si="23"/>
        <v/>
      </c>
      <c r="G36" s="30" t="str">
        <f t="shared" si="23"/>
        <v/>
      </c>
      <c r="H36" s="31" t="str">
        <f t="shared" si="23"/>
        <v/>
      </c>
      <c r="I36" s="32" t="str">
        <f t="shared" si="23"/>
        <v/>
      </c>
      <c r="J36" s="33" t="str">
        <f t="shared" si="23"/>
        <v/>
      </c>
      <c r="K36" s="34" t="str">
        <f t="shared" si="23"/>
        <v/>
      </c>
      <c r="M36" s="7">
        <v>5.0</v>
      </c>
      <c r="N36" s="29">
        <f t="shared" ref="N36:W36" si="24">power(N23,2)</f>
        <v>0</v>
      </c>
      <c r="O36" s="29">
        <f t="shared" si="24"/>
        <v>0</v>
      </c>
      <c r="P36" s="29">
        <f t="shared" si="24"/>
        <v>0</v>
      </c>
      <c r="Q36" s="29">
        <f t="shared" si="24"/>
        <v>0</v>
      </c>
      <c r="R36" s="29">
        <f t="shared" si="24"/>
        <v>0</v>
      </c>
      <c r="S36" s="30">
        <f t="shared" si="24"/>
        <v>0</v>
      </c>
      <c r="T36" s="31">
        <f t="shared" si="24"/>
        <v>0</v>
      </c>
      <c r="U36" s="32">
        <f t="shared" si="24"/>
        <v>0</v>
      </c>
      <c r="V36" s="33">
        <f t="shared" si="24"/>
        <v>0</v>
      </c>
      <c r="W36" s="34">
        <f t="shared" si="24"/>
        <v>0</v>
      </c>
    </row>
    <row r="37">
      <c r="A37" s="8">
        <v>6.0</v>
      </c>
      <c r="B37" s="30" t="str">
        <f t="shared" ref="B37:K37" si="25">iferror(divide(N37,B24),"")</f>
        <v/>
      </c>
      <c r="C37" s="30" t="str">
        <f t="shared" si="25"/>
        <v/>
      </c>
      <c r="D37" s="30" t="str">
        <f t="shared" si="25"/>
        <v/>
      </c>
      <c r="E37" s="30" t="str">
        <f t="shared" si="25"/>
        <v/>
      </c>
      <c r="F37" s="30" t="str">
        <f t="shared" si="25"/>
        <v/>
      </c>
      <c r="G37" s="30" t="str">
        <f t="shared" si="25"/>
        <v/>
      </c>
      <c r="H37" s="31" t="str">
        <f t="shared" si="25"/>
        <v/>
      </c>
      <c r="I37" s="32" t="str">
        <f t="shared" si="25"/>
        <v/>
      </c>
      <c r="J37" s="33" t="str">
        <f t="shared" si="25"/>
        <v/>
      </c>
      <c r="K37" s="34" t="str">
        <f t="shared" si="25"/>
        <v/>
      </c>
      <c r="M37" s="8">
        <v>6.0</v>
      </c>
      <c r="N37" s="30">
        <f t="shared" ref="N37:W37" si="26">power(N24,2)</f>
        <v>0</v>
      </c>
      <c r="O37" s="30">
        <f t="shared" si="26"/>
        <v>0</v>
      </c>
      <c r="P37" s="30">
        <f t="shared" si="26"/>
        <v>0</v>
      </c>
      <c r="Q37" s="30">
        <f t="shared" si="26"/>
        <v>0</v>
      </c>
      <c r="R37" s="30">
        <f t="shared" si="26"/>
        <v>0</v>
      </c>
      <c r="S37" s="30">
        <f t="shared" si="26"/>
        <v>0</v>
      </c>
      <c r="T37" s="31">
        <f t="shared" si="26"/>
        <v>0</v>
      </c>
      <c r="U37" s="32">
        <f t="shared" si="26"/>
        <v>0</v>
      </c>
      <c r="V37" s="33">
        <f t="shared" si="26"/>
        <v>0</v>
      </c>
      <c r="W37" s="34">
        <f t="shared" si="26"/>
        <v>0</v>
      </c>
    </row>
    <row r="38">
      <c r="A38" s="9">
        <v>7.0</v>
      </c>
      <c r="B38" s="31" t="str">
        <f t="shared" ref="B38:K38" si="27">iferror(divide(N38,B25),"")</f>
        <v/>
      </c>
      <c r="C38" s="31" t="str">
        <f t="shared" si="27"/>
        <v/>
      </c>
      <c r="D38" s="31" t="str">
        <f t="shared" si="27"/>
        <v/>
      </c>
      <c r="E38" s="31" t="str">
        <f t="shared" si="27"/>
        <v/>
      </c>
      <c r="F38" s="31" t="str">
        <f t="shared" si="27"/>
        <v/>
      </c>
      <c r="G38" s="31" t="str">
        <f t="shared" si="27"/>
        <v/>
      </c>
      <c r="H38" s="31" t="str">
        <f t="shared" si="27"/>
        <v/>
      </c>
      <c r="I38" s="32" t="str">
        <f t="shared" si="27"/>
        <v/>
      </c>
      <c r="J38" s="33" t="str">
        <f t="shared" si="27"/>
        <v/>
      </c>
      <c r="K38" s="34" t="str">
        <f t="shared" si="27"/>
        <v/>
      </c>
      <c r="M38" s="9">
        <v>7.0</v>
      </c>
      <c r="N38" s="31">
        <f t="shared" ref="N38:W38" si="28">power(N25,2)</f>
        <v>0</v>
      </c>
      <c r="O38" s="31">
        <f t="shared" si="28"/>
        <v>0</v>
      </c>
      <c r="P38" s="31">
        <f t="shared" si="28"/>
        <v>0</v>
      </c>
      <c r="Q38" s="31">
        <f t="shared" si="28"/>
        <v>0</v>
      </c>
      <c r="R38" s="31">
        <f t="shared" si="28"/>
        <v>0</v>
      </c>
      <c r="S38" s="31">
        <f t="shared" si="28"/>
        <v>0</v>
      </c>
      <c r="T38" s="31">
        <f t="shared" si="28"/>
        <v>0</v>
      </c>
      <c r="U38" s="32">
        <f t="shared" si="28"/>
        <v>0</v>
      </c>
      <c r="V38" s="33">
        <f t="shared" si="28"/>
        <v>0</v>
      </c>
      <c r="W38" s="34">
        <f t="shared" si="28"/>
        <v>0</v>
      </c>
    </row>
    <row r="39">
      <c r="A39" s="10">
        <v>8.0</v>
      </c>
      <c r="B39" s="32" t="str">
        <f t="shared" ref="B39:K39" si="29">iferror(divide(N39,B26),"")</f>
        <v/>
      </c>
      <c r="C39" s="32" t="str">
        <f t="shared" si="29"/>
        <v/>
      </c>
      <c r="D39" s="32" t="str">
        <f t="shared" si="29"/>
        <v/>
      </c>
      <c r="E39" s="32" t="str">
        <f t="shared" si="29"/>
        <v/>
      </c>
      <c r="F39" s="32" t="str">
        <f t="shared" si="29"/>
        <v/>
      </c>
      <c r="G39" s="32" t="str">
        <f t="shared" si="29"/>
        <v/>
      </c>
      <c r="H39" s="32" t="str">
        <f t="shared" si="29"/>
        <v/>
      </c>
      <c r="I39" s="32" t="str">
        <f t="shared" si="29"/>
        <v/>
      </c>
      <c r="J39" s="33" t="str">
        <f t="shared" si="29"/>
        <v/>
      </c>
      <c r="K39" s="34" t="str">
        <f t="shared" si="29"/>
        <v/>
      </c>
      <c r="M39" s="10">
        <v>8.0</v>
      </c>
      <c r="N39" s="32">
        <f t="shared" ref="N39:W39" si="30">power(N26,2)</f>
        <v>0</v>
      </c>
      <c r="O39" s="32">
        <f t="shared" si="30"/>
        <v>0</v>
      </c>
      <c r="P39" s="32">
        <f t="shared" si="30"/>
        <v>0</v>
      </c>
      <c r="Q39" s="32">
        <f t="shared" si="30"/>
        <v>0</v>
      </c>
      <c r="R39" s="32">
        <f t="shared" si="30"/>
        <v>0</v>
      </c>
      <c r="S39" s="32">
        <f t="shared" si="30"/>
        <v>0</v>
      </c>
      <c r="T39" s="32">
        <f t="shared" si="30"/>
        <v>0</v>
      </c>
      <c r="U39" s="32">
        <f t="shared" si="30"/>
        <v>0</v>
      </c>
      <c r="V39" s="33">
        <f t="shared" si="30"/>
        <v>0</v>
      </c>
      <c r="W39" s="34">
        <f t="shared" si="30"/>
        <v>0</v>
      </c>
    </row>
    <row r="40">
      <c r="A40" s="11">
        <v>9.0</v>
      </c>
      <c r="B40" s="33" t="str">
        <f t="shared" ref="B40:K40" si="31">iferror(divide(N40,B27),"")</f>
        <v/>
      </c>
      <c r="C40" s="33" t="str">
        <f t="shared" si="31"/>
        <v/>
      </c>
      <c r="D40" s="33" t="str">
        <f t="shared" si="31"/>
        <v/>
      </c>
      <c r="E40" s="33" t="str">
        <f t="shared" si="31"/>
        <v/>
      </c>
      <c r="F40" s="33" t="str">
        <f t="shared" si="31"/>
        <v/>
      </c>
      <c r="G40" s="33" t="str">
        <f t="shared" si="31"/>
        <v/>
      </c>
      <c r="H40" s="33" t="str">
        <f t="shared" si="31"/>
        <v/>
      </c>
      <c r="I40" s="33" t="str">
        <f t="shared" si="31"/>
        <v/>
      </c>
      <c r="J40" s="33" t="str">
        <f t="shared" si="31"/>
        <v/>
      </c>
      <c r="K40" s="34" t="str">
        <f t="shared" si="31"/>
        <v/>
      </c>
      <c r="M40" s="11">
        <v>9.0</v>
      </c>
      <c r="N40" s="33">
        <f t="shared" ref="N40:W40" si="32">power(N27,2)</f>
        <v>0</v>
      </c>
      <c r="O40" s="33">
        <f t="shared" si="32"/>
        <v>0</v>
      </c>
      <c r="P40" s="33">
        <f t="shared" si="32"/>
        <v>0</v>
      </c>
      <c r="Q40" s="33">
        <f t="shared" si="32"/>
        <v>0</v>
      </c>
      <c r="R40" s="33">
        <f t="shared" si="32"/>
        <v>0</v>
      </c>
      <c r="S40" s="33">
        <f t="shared" si="32"/>
        <v>0</v>
      </c>
      <c r="T40" s="33">
        <f t="shared" si="32"/>
        <v>0</v>
      </c>
      <c r="U40" s="33">
        <f t="shared" si="32"/>
        <v>0</v>
      </c>
      <c r="V40" s="33">
        <f t="shared" si="32"/>
        <v>0</v>
      </c>
      <c r="W40" s="34">
        <f t="shared" si="32"/>
        <v>0</v>
      </c>
    </row>
    <row r="41">
      <c r="A41" s="12">
        <v>10.0</v>
      </c>
      <c r="B41" s="34" t="str">
        <f t="shared" ref="B41:K41" si="33">iferror(divide(N41,B28),"")</f>
        <v/>
      </c>
      <c r="C41" s="34" t="str">
        <f t="shared" si="33"/>
        <v/>
      </c>
      <c r="D41" s="34" t="str">
        <f t="shared" si="33"/>
        <v/>
      </c>
      <c r="E41" s="34" t="str">
        <f t="shared" si="33"/>
        <v/>
      </c>
      <c r="F41" s="34" t="str">
        <f t="shared" si="33"/>
        <v/>
      </c>
      <c r="G41" s="34" t="str">
        <f t="shared" si="33"/>
        <v/>
      </c>
      <c r="H41" s="34" t="str">
        <f t="shared" si="33"/>
        <v/>
      </c>
      <c r="I41" s="34" t="str">
        <f t="shared" si="33"/>
        <v/>
      </c>
      <c r="J41" s="34" t="str">
        <f t="shared" si="33"/>
        <v/>
      </c>
      <c r="K41" s="34" t="str">
        <f t="shared" si="33"/>
        <v/>
      </c>
      <c r="M41" s="12">
        <v>10.0</v>
      </c>
      <c r="N41" s="34">
        <f t="shared" ref="N41:W41" si="34">power(N28,2)</f>
        <v>0</v>
      </c>
      <c r="O41" s="34">
        <f t="shared" si="34"/>
        <v>0</v>
      </c>
      <c r="P41" s="34">
        <f t="shared" si="34"/>
        <v>0</v>
      </c>
      <c r="Q41" s="34">
        <f t="shared" si="34"/>
        <v>0</v>
      </c>
      <c r="R41" s="34">
        <f t="shared" si="34"/>
        <v>0</v>
      </c>
      <c r="S41" s="34">
        <f t="shared" si="34"/>
        <v>0</v>
      </c>
      <c r="T41" s="34">
        <f t="shared" si="34"/>
        <v>0</v>
      </c>
      <c r="U41" s="34">
        <f t="shared" si="34"/>
        <v>0</v>
      </c>
      <c r="V41" s="34">
        <f t="shared" si="34"/>
        <v>0</v>
      </c>
      <c r="W41" s="34">
        <f t="shared" si="34"/>
        <v>0</v>
      </c>
    </row>
    <row r="43">
      <c r="A43" s="2" t="s">
        <v>18</v>
      </c>
    </row>
    <row r="44">
      <c r="A44" s="47" t="s">
        <v>19</v>
      </c>
      <c r="B44" s="47">
        <f>max(C47:K55)</f>
        <v>505.4178766</v>
      </c>
      <c r="C44" s="48"/>
      <c r="D44" s="48"/>
      <c r="E44" s="48"/>
      <c r="F44" s="48"/>
      <c r="G44" s="48"/>
      <c r="H44" s="48"/>
      <c r="I44" s="48"/>
      <c r="J44" s="48"/>
      <c r="K44" s="48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B45" s="3" t="s">
        <v>3</v>
      </c>
      <c r="C45" s="4" t="s">
        <v>4</v>
      </c>
      <c r="D45" s="5" t="s">
        <v>5</v>
      </c>
      <c r="E45" s="6" t="s">
        <v>6</v>
      </c>
      <c r="F45" s="7" t="s">
        <v>7</v>
      </c>
      <c r="G45" s="8" t="s">
        <v>8</v>
      </c>
      <c r="H45" s="9" t="s">
        <v>9</v>
      </c>
      <c r="I45" s="10" t="s">
        <v>10</v>
      </c>
      <c r="J45" s="11" t="s">
        <v>11</v>
      </c>
      <c r="K45" s="12" t="s">
        <v>12</v>
      </c>
    </row>
    <row r="46">
      <c r="A46" s="3">
        <v>1.0</v>
      </c>
      <c r="B46" s="14" t="s">
        <v>20</v>
      </c>
      <c r="C46" s="15" t="s">
        <v>20</v>
      </c>
      <c r="D46" s="16" t="s">
        <v>20</v>
      </c>
      <c r="E46" s="17" t="s">
        <v>20</v>
      </c>
      <c r="F46" s="18" t="s">
        <v>20</v>
      </c>
      <c r="G46" s="19" t="s">
        <v>20</v>
      </c>
      <c r="H46" s="20" t="s">
        <v>20</v>
      </c>
      <c r="I46" s="21" t="s">
        <v>20</v>
      </c>
      <c r="J46" s="22" t="s">
        <v>20</v>
      </c>
      <c r="K46" s="23" t="s">
        <v>20</v>
      </c>
    </row>
    <row r="47">
      <c r="A47" s="4">
        <v>2.0</v>
      </c>
      <c r="B47" s="15" t="s">
        <v>20</v>
      </c>
      <c r="C47" s="15">
        <f>sum(B32,C32,B33,C33)</f>
        <v>105.5008829</v>
      </c>
      <c r="D47" s="49">
        <f>sum(B32:D33)</f>
        <v>215.8839631</v>
      </c>
      <c r="E47" s="28">
        <f>sum(B32:E33)</f>
        <v>215.8839631</v>
      </c>
      <c r="F47" s="29">
        <f>SUM(B32:F33)</f>
        <v>215.8839631</v>
      </c>
      <c r="G47" s="30">
        <f>SUM(B32:G33)</f>
        <v>215.8839631</v>
      </c>
      <c r="H47" s="31">
        <f>sum(B32:H33)</f>
        <v>215.8839631</v>
      </c>
      <c r="I47" s="32">
        <f>sum(B32:I33)</f>
        <v>215.8839631</v>
      </c>
      <c r="J47" s="33">
        <f>sum(B32:J33)</f>
        <v>215.8839631</v>
      </c>
      <c r="K47" s="34">
        <f>sum(B32:K33)</f>
        <v>215.8839631</v>
      </c>
    </row>
    <row r="48">
      <c r="A48" s="5">
        <v>3.0</v>
      </c>
      <c r="B48" s="16" t="s">
        <v>20</v>
      </c>
      <c r="C48" s="16">
        <f>sum(B32,B33,B34,C32,C33,C34)</f>
        <v>364.569176</v>
      </c>
      <c r="D48" s="27">
        <f>sum(B32:D34)</f>
        <v>505.4178766</v>
      </c>
      <c r="E48" s="28">
        <f>sum(B32:E34)</f>
        <v>505.4178766</v>
      </c>
      <c r="F48" s="29">
        <f>SUM(B32:F34)</f>
        <v>505.4178766</v>
      </c>
      <c r="G48" s="30">
        <f>sum(B32:G34)</f>
        <v>505.4178766</v>
      </c>
      <c r="H48" s="31">
        <f>sum(B32:H34)</f>
        <v>505.4178766</v>
      </c>
      <c r="I48" s="32">
        <f>sum(B32:I34)</f>
        <v>505.4178766</v>
      </c>
      <c r="J48" s="33">
        <f>sum(B32:J34)</f>
        <v>505.4178766</v>
      </c>
      <c r="K48" s="34">
        <f>sum(B32:K34)</f>
        <v>505.4178766</v>
      </c>
    </row>
    <row r="49">
      <c r="A49" s="6">
        <v>4.0</v>
      </c>
      <c r="B49" s="17" t="s">
        <v>20</v>
      </c>
      <c r="C49" s="28">
        <f>sum(B32,B33,B34,B35,C32,C33,C34,C35)</f>
        <v>364.569176</v>
      </c>
      <c r="D49" s="28">
        <f>sum(B32:D35)</f>
        <v>505.4178766</v>
      </c>
      <c r="E49" s="28">
        <f>SUM(B32:E35)</f>
        <v>505.4178766</v>
      </c>
      <c r="F49" s="29">
        <f>SUM(B32:F35)</f>
        <v>505.4178766</v>
      </c>
      <c r="G49" s="30">
        <f>sum(B32:G35)</f>
        <v>505.4178766</v>
      </c>
      <c r="H49" s="31">
        <f>sum(B32:H35)</f>
        <v>505.4178766</v>
      </c>
      <c r="I49" s="32">
        <f>sum(B32:I35)</f>
        <v>505.4178766</v>
      </c>
      <c r="J49" s="33">
        <f>sum(B32:J35)</f>
        <v>505.4178766</v>
      </c>
      <c r="K49" s="34">
        <f>sum(B32:K35)</f>
        <v>505.4178766</v>
      </c>
    </row>
    <row r="50">
      <c r="A50" s="7">
        <v>5.0</v>
      </c>
      <c r="B50" s="18" t="s">
        <v>20</v>
      </c>
      <c r="C50" s="29">
        <f>sum(B32,B33,B34,B35,B36,C32,C33,C34,C35,C36)</f>
        <v>364.569176</v>
      </c>
      <c r="D50" s="29">
        <f>sum(B32:D36)</f>
        <v>505.4178766</v>
      </c>
      <c r="E50" s="29">
        <f>SUM(B32:E36)</f>
        <v>505.4178766</v>
      </c>
      <c r="F50" s="29">
        <f>SUM(B32:F36)</f>
        <v>505.4178766</v>
      </c>
      <c r="G50" s="30">
        <f>sum(B32:G36)</f>
        <v>505.4178766</v>
      </c>
      <c r="H50" s="31">
        <f>sum(B32:H36)</f>
        <v>505.4178766</v>
      </c>
      <c r="I50" s="32">
        <f>sum(B32:I36)</f>
        <v>505.4178766</v>
      </c>
      <c r="J50" s="33">
        <f>sum(B32:J36)</f>
        <v>505.4178766</v>
      </c>
      <c r="K50" s="34">
        <f>sum(B32:K36)</f>
        <v>505.4178766</v>
      </c>
    </row>
    <row r="51">
      <c r="A51" s="8">
        <v>6.0</v>
      </c>
      <c r="B51" s="19" t="s">
        <v>20</v>
      </c>
      <c r="C51" s="30">
        <f>sum(B32,B33,B34,B35,B36,B37,C32,C33,C34,C35,C35,C36,C37)</f>
        <v>364.569176</v>
      </c>
      <c r="D51" s="30">
        <f>sum(B32:D37)</f>
        <v>505.4178766</v>
      </c>
      <c r="E51" s="30">
        <f>SUM(B32:E37)</f>
        <v>505.4178766</v>
      </c>
      <c r="F51" s="30">
        <f>SUM(B32:F37)</f>
        <v>505.4178766</v>
      </c>
      <c r="G51" s="30">
        <f>sum(B32:G37)</f>
        <v>505.4178766</v>
      </c>
      <c r="H51" s="31">
        <f>sum(B32:H37)</f>
        <v>505.4178766</v>
      </c>
      <c r="I51" s="32">
        <f>sum(B32:I37)</f>
        <v>505.4178766</v>
      </c>
      <c r="J51" s="33">
        <f>sum(B32:J37)</f>
        <v>505.4178766</v>
      </c>
      <c r="K51" s="34">
        <f>sum(B32:K37)</f>
        <v>505.4178766</v>
      </c>
    </row>
    <row r="52">
      <c r="A52" s="9">
        <v>7.0</v>
      </c>
      <c r="B52" s="20" t="s">
        <v>20</v>
      </c>
      <c r="C52" s="31">
        <f>sum(B32,B32,B33,B34,B35,B36,B37,B38,C32,C33,C34,C35,C36,C37,C38)</f>
        <v>364.6575631</v>
      </c>
      <c r="D52" s="31">
        <f>sum(B32:D38)</f>
        <v>505.4178766</v>
      </c>
      <c r="E52" s="31">
        <f>SUM(B32:E38)</f>
        <v>505.4178766</v>
      </c>
      <c r="F52" s="31">
        <f>SUM(B32:F38)</f>
        <v>505.4178766</v>
      </c>
      <c r="G52" s="31">
        <f>sum(B32:G38)</f>
        <v>505.4178766</v>
      </c>
      <c r="H52" s="31">
        <f>sum(B32:H38)</f>
        <v>505.4178766</v>
      </c>
      <c r="I52" s="32">
        <f>sum(B32:I38)</f>
        <v>505.4178766</v>
      </c>
      <c r="J52" s="33">
        <f>sum(B32:J38)</f>
        <v>505.4178766</v>
      </c>
      <c r="K52" s="34">
        <f>sum(B32:K38)</f>
        <v>505.4178766</v>
      </c>
    </row>
    <row r="53">
      <c r="A53" s="10">
        <v>8.0</v>
      </c>
      <c r="B53" s="21" t="s">
        <v>20</v>
      </c>
      <c r="C53" s="32">
        <f>sum(B32,B33,B34,B35,B36,B37,B38,B39,C32,C33,C34,C35,C36,C37,C38,C39)</f>
        <v>364.569176</v>
      </c>
      <c r="D53" s="32">
        <f>sum(B32:D39)</f>
        <v>505.4178766</v>
      </c>
      <c r="E53" s="32">
        <f>SUM(B32:E39)</f>
        <v>505.4178766</v>
      </c>
      <c r="F53" s="32">
        <f>SUM(B32:F39)</f>
        <v>505.4178766</v>
      </c>
      <c r="G53" s="32">
        <f>sum(B32:G39)</f>
        <v>505.4178766</v>
      </c>
      <c r="H53" s="32">
        <f>sum(B32:H39)</f>
        <v>505.4178766</v>
      </c>
      <c r="I53" s="32">
        <f>sum(B32:I39)</f>
        <v>505.4178766</v>
      </c>
      <c r="J53" s="33">
        <f>sum(B32:J39)</f>
        <v>505.4178766</v>
      </c>
      <c r="K53" s="34">
        <f>sum(B32:K39)</f>
        <v>505.4178766</v>
      </c>
    </row>
    <row r="54">
      <c r="A54" s="11">
        <v>9.0</v>
      </c>
      <c r="B54" s="22" t="s">
        <v>20</v>
      </c>
      <c r="C54" s="33">
        <f>sum(B32,B33,B34,B35,B36,B37,B38,B39,B40,C32,C33,C34,C35,C36,C37,C38,C39,C40)</f>
        <v>364.569176</v>
      </c>
      <c r="D54" s="33">
        <f>sum(B32:D40)</f>
        <v>505.4178766</v>
      </c>
      <c r="E54" s="33">
        <f>SUM(B32:E40)</f>
        <v>505.4178766</v>
      </c>
      <c r="F54" s="33">
        <f>SUM(B32:F40)</f>
        <v>505.4178766</v>
      </c>
      <c r="G54" s="33">
        <f>sum(B32:G40)</f>
        <v>505.4178766</v>
      </c>
      <c r="H54" s="33">
        <f>sum(B32:H40)</f>
        <v>505.4178766</v>
      </c>
      <c r="I54" s="33">
        <f>sum(B32:I40)</f>
        <v>505.4178766</v>
      </c>
      <c r="J54" s="33">
        <f>sum(B32:J40)</f>
        <v>505.4178766</v>
      </c>
      <c r="K54" s="34">
        <f>sum(B32:K40)</f>
        <v>505.4178766</v>
      </c>
    </row>
    <row r="55">
      <c r="A55" s="12">
        <v>10.0</v>
      </c>
      <c r="B55" s="23" t="s">
        <v>20</v>
      </c>
      <c r="C55" s="34">
        <f>sum(B32,B33,B34,B35,B36,B37,B38,B39,B40,B41,C32,C33,C34,C35,C36,C37,C38,C39,C40,C41)</f>
        <v>364.569176</v>
      </c>
      <c r="D55" s="34">
        <f>sum(B32:D41)</f>
        <v>505.4178766</v>
      </c>
      <c r="E55" s="34">
        <f>SUM(B32:E41)</f>
        <v>505.4178766</v>
      </c>
      <c r="F55" s="34">
        <f>SUM(B32:F41)</f>
        <v>505.4178766</v>
      </c>
      <c r="G55" s="34">
        <f>sum(B32:G41)</f>
        <v>505.4178766</v>
      </c>
      <c r="H55" s="34">
        <f>sum(B32:H41)</f>
        <v>505.4178766</v>
      </c>
      <c r="I55" s="34">
        <f>sum(B32:I41)</f>
        <v>505.4178766</v>
      </c>
      <c r="J55" s="34">
        <f>sum(B32:J41)</f>
        <v>505.4178766</v>
      </c>
      <c r="K55" s="34">
        <f>sum(B32:K41)</f>
        <v>505.4178766</v>
      </c>
    </row>
    <row r="57">
      <c r="A57" s="2" t="s">
        <v>21</v>
      </c>
    </row>
    <row r="58">
      <c r="B58" s="3" t="s">
        <v>3</v>
      </c>
      <c r="C58" s="4" t="s">
        <v>4</v>
      </c>
      <c r="D58" s="5" t="s">
        <v>5</v>
      </c>
      <c r="E58" s="6" t="s">
        <v>6</v>
      </c>
      <c r="F58" s="7" t="s">
        <v>7</v>
      </c>
      <c r="G58" s="8" t="s">
        <v>8</v>
      </c>
      <c r="H58" s="9" t="s">
        <v>9</v>
      </c>
      <c r="I58" s="10" t="s">
        <v>10</v>
      </c>
      <c r="J58" s="11" t="s">
        <v>11</v>
      </c>
      <c r="K58" s="12" t="s">
        <v>12</v>
      </c>
    </row>
    <row r="59">
      <c r="A59" s="3">
        <v>1.0</v>
      </c>
      <c r="B59" s="14" t="s">
        <v>20</v>
      </c>
      <c r="C59" s="15" t="s">
        <v>20</v>
      </c>
      <c r="D59" s="16" t="s">
        <v>20</v>
      </c>
      <c r="E59" s="17" t="s">
        <v>20</v>
      </c>
      <c r="F59" s="18" t="s">
        <v>20</v>
      </c>
      <c r="G59" s="19" t="s">
        <v>20</v>
      </c>
      <c r="H59" s="20" t="s">
        <v>20</v>
      </c>
      <c r="I59" s="21" t="s">
        <v>20</v>
      </c>
      <c r="J59" s="22" t="s">
        <v>20</v>
      </c>
      <c r="K59" s="23" t="s">
        <v>20</v>
      </c>
    </row>
    <row r="60">
      <c r="A60" s="4">
        <v>2.0</v>
      </c>
      <c r="B60" s="15" t="s">
        <v>20</v>
      </c>
      <c r="C60" s="15">
        <v>1.0</v>
      </c>
      <c r="D60" s="16">
        <v>2.0</v>
      </c>
      <c r="E60" s="17">
        <v>3.0</v>
      </c>
      <c r="F60" s="18">
        <v>4.0</v>
      </c>
      <c r="G60" s="19">
        <v>5.0</v>
      </c>
      <c r="H60" s="20">
        <v>6.0</v>
      </c>
      <c r="I60" s="21">
        <v>7.0</v>
      </c>
      <c r="J60" s="22">
        <v>8.0</v>
      </c>
      <c r="K60" s="23">
        <v>9.0</v>
      </c>
    </row>
    <row r="61">
      <c r="A61" s="5">
        <v>3.0</v>
      </c>
      <c r="B61" s="16" t="s">
        <v>20</v>
      </c>
      <c r="C61" s="16">
        <v>2.0</v>
      </c>
      <c r="D61" s="16">
        <v>4.0</v>
      </c>
      <c r="E61" s="17">
        <v>6.0</v>
      </c>
      <c r="F61" s="18">
        <v>8.0</v>
      </c>
      <c r="G61" s="19">
        <v>10.0</v>
      </c>
      <c r="H61" s="20">
        <v>12.0</v>
      </c>
      <c r="I61" s="21">
        <v>14.0</v>
      </c>
      <c r="J61" s="22">
        <v>16.0</v>
      </c>
      <c r="K61" s="23">
        <v>18.0</v>
      </c>
    </row>
    <row r="62">
      <c r="A62" s="6">
        <v>4.0</v>
      </c>
      <c r="B62" s="17" t="s">
        <v>20</v>
      </c>
      <c r="C62" s="17">
        <v>3.0</v>
      </c>
      <c r="D62" s="17">
        <v>6.0</v>
      </c>
      <c r="E62" s="17">
        <v>9.0</v>
      </c>
      <c r="F62" s="18">
        <v>12.0</v>
      </c>
      <c r="G62" s="19">
        <v>15.0</v>
      </c>
      <c r="H62" s="20">
        <v>18.0</v>
      </c>
      <c r="I62" s="21">
        <v>21.0</v>
      </c>
      <c r="J62" s="22">
        <v>24.0</v>
      </c>
      <c r="K62" s="23">
        <v>27.0</v>
      </c>
    </row>
    <row r="63">
      <c r="A63" s="7">
        <v>5.0</v>
      </c>
      <c r="B63" s="18" t="s">
        <v>20</v>
      </c>
      <c r="C63" s="18">
        <v>4.0</v>
      </c>
      <c r="D63" s="18">
        <v>8.0</v>
      </c>
      <c r="E63" s="18">
        <v>12.0</v>
      </c>
      <c r="F63" s="18">
        <v>16.0</v>
      </c>
      <c r="G63" s="19">
        <v>20.0</v>
      </c>
      <c r="H63" s="20">
        <v>24.0</v>
      </c>
      <c r="I63" s="21">
        <v>28.0</v>
      </c>
      <c r="J63" s="22">
        <v>32.0</v>
      </c>
      <c r="K63" s="23">
        <v>36.0</v>
      </c>
    </row>
    <row r="64">
      <c r="A64" s="8">
        <v>6.0</v>
      </c>
      <c r="B64" s="19" t="s">
        <v>20</v>
      </c>
      <c r="C64" s="19">
        <v>5.0</v>
      </c>
      <c r="D64" s="19">
        <v>10.0</v>
      </c>
      <c r="E64" s="19">
        <v>15.0</v>
      </c>
      <c r="F64" s="19">
        <v>20.0</v>
      </c>
      <c r="G64" s="19">
        <v>25.0</v>
      </c>
      <c r="H64" s="20">
        <v>30.0</v>
      </c>
      <c r="I64" s="21">
        <v>35.0</v>
      </c>
      <c r="J64" s="22">
        <v>40.0</v>
      </c>
      <c r="K64" s="23">
        <v>45.0</v>
      </c>
    </row>
    <row r="65">
      <c r="A65" s="9">
        <v>7.0</v>
      </c>
      <c r="B65" s="20" t="s">
        <v>20</v>
      </c>
      <c r="C65" s="20">
        <v>6.0</v>
      </c>
      <c r="D65" s="20">
        <v>12.0</v>
      </c>
      <c r="E65" s="20">
        <v>18.0</v>
      </c>
      <c r="F65" s="20">
        <v>24.0</v>
      </c>
      <c r="G65" s="20">
        <v>30.0</v>
      </c>
      <c r="H65" s="20">
        <v>36.0</v>
      </c>
      <c r="I65" s="21">
        <v>42.0</v>
      </c>
      <c r="J65" s="22">
        <v>48.0</v>
      </c>
      <c r="K65" s="23">
        <v>54.0</v>
      </c>
    </row>
    <row r="66">
      <c r="A66" s="10">
        <v>8.0</v>
      </c>
      <c r="B66" s="21" t="s">
        <v>20</v>
      </c>
      <c r="C66" s="21">
        <v>7.0</v>
      </c>
      <c r="D66" s="21">
        <v>14.0</v>
      </c>
      <c r="E66" s="21">
        <v>21.0</v>
      </c>
      <c r="F66" s="21">
        <v>28.0</v>
      </c>
      <c r="G66" s="21">
        <v>35.0</v>
      </c>
      <c r="H66" s="21">
        <v>42.0</v>
      </c>
      <c r="I66" s="21">
        <v>49.0</v>
      </c>
      <c r="J66" s="22">
        <v>56.0</v>
      </c>
      <c r="K66" s="23">
        <v>63.0</v>
      </c>
    </row>
    <row r="67">
      <c r="A67" s="11">
        <v>9.0</v>
      </c>
      <c r="B67" s="22" t="s">
        <v>20</v>
      </c>
      <c r="C67" s="22">
        <v>8.0</v>
      </c>
      <c r="D67" s="22">
        <v>16.0</v>
      </c>
      <c r="E67" s="22">
        <v>24.0</v>
      </c>
      <c r="F67" s="22">
        <v>32.0</v>
      </c>
      <c r="G67" s="22">
        <v>40.0</v>
      </c>
      <c r="H67" s="22">
        <v>48.0</v>
      </c>
      <c r="I67" s="22">
        <v>56.0</v>
      </c>
      <c r="J67" s="22">
        <v>64.0</v>
      </c>
      <c r="K67" s="23">
        <v>72.0</v>
      </c>
    </row>
    <row r="68">
      <c r="A68" s="12">
        <v>10.0</v>
      </c>
      <c r="B68" s="23" t="s">
        <v>20</v>
      </c>
      <c r="C68" s="23">
        <v>9.0</v>
      </c>
      <c r="D68" s="23">
        <v>18.0</v>
      </c>
      <c r="E68" s="23">
        <v>27.0</v>
      </c>
      <c r="F68" s="23">
        <v>36.0</v>
      </c>
      <c r="G68" s="23">
        <v>45.0</v>
      </c>
      <c r="H68" s="23">
        <v>54.0</v>
      </c>
      <c r="I68" s="23">
        <v>63.0</v>
      </c>
      <c r="J68" s="23">
        <v>72.0</v>
      </c>
      <c r="K68" s="23">
        <v>81.0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</row>
    <row r="2">
      <c r="A2" s="50" t="s">
        <v>23</v>
      </c>
    </row>
    <row r="3">
      <c r="A3" s="2" t="s">
        <v>24</v>
      </c>
    </row>
    <row r="4">
      <c r="B4" s="3">
        <v>1.0</v>
      </c>
      <c r="C4" s="4">
        <v>2.0</v>
      </c>
      <c r="D4" s="5">
        <v>3.0</v>
      </c>
      <c r="E4" s="6">
        <v>4.0</v>
      </c>
      <c r="F4" s="7">
        <v>5.0</v>
      </c>
      <c r="G4" s="8">
        <v>6.0</v>
      </c>
      <c r="H4" s="9">
        <v>7.0</v>
      </c>
      <c r="I4" s="10">
        <v>8.0</v>
      </c>
      <c r="J4" s="11">
        <v>9.0</v>
      </c>
      <c r="K4" s="12">
        <v>10.0</v>
      </c>
      <c r="L4" s="2" t="s">
        <v>25</v>
      </c>
      <c r="M4" s="2" t="s">
        <v>26</v>
      </c>
      <c r="N4" s="2" t="s">
        <v>27</v>
      </c>
      <c r="O4" s="2" t="s">
        <v>28</v>
      </c>
    </row>
    <row r="5">
      <c r="A5" s="3" t="s">
        <v>3</v>
      </c>
      <c r="B5" s="14">
        <v>18.0</v>
      </c>
      <c r="C5" s="14">
        <v>29.0</v>
      </c>
      <c r="D5" s="14">
        <v>42.0</v>
      </c>
      <c r="E5" s="14">
        <v>42.0</v>
      </c>
      <c r="F5" s="14">
        <v>31.0</v>
      </c>
      <c r="G5" s="14">
        <v>21.0</v>
      </c>
      <c r="H5" s="14">
        <v>38.0</v>
      </c>
      <c r="I5" s="14">
        <v>25.0</v>
      </c>
      <c r="J5" s="14"/>
      <c r="K5" s="14"/>
      <c r="L5" s="51">
        <f t="shared" ref="L5:L7" si="1">AVERAGE(B5:K5)</f>
        <v>30.75</v>
      </c>
      <c r="M5" s="3">
        <f t="shared" ref="M5:M7" si="2">STDEV(B5:K5)</f>
        <v>9.25434261</v>
      </c>
      <c r="N5" s="51">
        <f t="shared" ref="N5:N14" si="3">COUNT(B5:K5)</f>
        <v>8</v>
      </c>
      <c r="O5" s="51">
        <f>power(N5,-1)</f>
        <v>0.125</v>
      </c>
      <c r="P5" s="52"/>
    </row>
    <row r="6">
      <c r="A6" s="4" t="s">
        <v>4</v>
      </c>
      <c r="B6" s="15">
        <v>43.0</v>
      </c>
      <c r="C6" s="15">
        <v>59.0</v>
      </c>
      <c r="D6" s="15">
        <v>22.0</v>
      </c>
      <c r="E6" s="15">
        <v>25.0</v>
      </c>
      <c r="F6" s="15">
        <v>36.0</v>
      </c>
      <c r="G6" s="15">
        <v>47.0</v>
      </c>
      <c r="H6" s="15">
        <v>19.0</v>
      </c>
      <c r="I6" s="15">
        <v>21.0</v>
      </c>
      <c r="J6" s="15"/>
      <c r="K6" s="15"/>
      <c r="L6" s="53">
        <f t="shared" si="1"/>
        <v>34</v>
      </c>
      <c r="M6" s="53">
        <f t="shared" si="2"/>
        <v>14.62873884</v>
      </c>
      <c r="N6" s="53">
        <f t="shared" si="3"/>
        <v>8</v>
      </c>
      <c r="O6" s="53">
        <f t="shared" ref="O6:O8" si="4">POWER(N6,-1)</f>
        <v>0.125</v>
      </c>
      <c r="P6" s="48"/>
    </row>
    <row r="7">
      <c r="A7" s="5" t="s">
        <v>5</v>
      </c>
      <c r="B7" s="16">
        <v>44.0</v>
      </c>
      <c r="C7" s="16">
        <v>34.0</v>
      </c>
      <c r="D7" s="16">
        <v>36.0</v>
      </c>
      <c r="E7" s="16">
        <v>49.0</v>
      </c>
      <c r="F7" s="16">
        <v>54.0</v>
      </c>
      <c r="G7" s="16">
        <v>65.0</v>
      </c>
      <c r="H7" s="16">
        <v>59.0</v>
      </c>
      <c r="I7" s="16">
        <v>53.0</v>
      </c>
      <c r="J7" s="16"/>
      <c r="K7" s="16"/>
      <c r="L7" s="54">
        <f t="shared" si="1"/>
        <v>49.25</v>
      </c>
      <c r="M7" s="54">
        <f t="shared" si="2"/>
        <v>10.79351657</v>
      </c>
      <c r="N7" s="54">
        <f t="shared" si="3"/>
        <v>8</v>
      </c>
      <c r="O7" s="54">
        <f t="shared" si="4"/>
        <v>0.125</v>
      </c>
      <c r="P7" s="48"/>
    </row>
    <row r="8">
      <c r="A8" s="6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55" t="str">
        <f t="shared" ref="L8:L14" si="5">iferror(AVERAGE(B8:K8),"")</f>
        <v/>
      </c>
      <c r="M8" s="55" t="str">
        <f t="shared" ref="M8:M14" si="6">iferror(STDEV(B8:K8),"")</f>
        <v/>
      </c>
      <c r="N8" s="55">
        <f t="shared" si="3"/>
        <v>0</v>
      </c>
      <c r="O8" s="55" t="str">
        <f t="shared" si="4"/>
        <v>#NUM!</v>
      </c>
      <c r="P8" s="48"/>
    </row>
    <row r="9">
      <c r="A9" s="7" t="s">
        <v>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56" t="str">
        <f t="shared" si="5"/>
        <v/>
      </c>
      <c r="M9" s="56" t="str">
        <f t="shared" si="6"/>
        <v/>
      </c>
      <c r="N9" s="56">
        <f t="shared" si="3"/>
        <v>0</v>
      </c>
      <c r="O9" s="56" t="str">
        <f t="shared" ref="O9:O14" si="7">power(N9,-1)</f>
        <v>#NUM!</v>
      </c>
      <c r="P9" s="48"/>
    </row>
    <row r="10">
      <c r="A10" s="8" t="s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57" t="str">
        <f t="shared" si="5"/>
        <v/>
      </c>
      <c r="M10" s="57" t="str">
        <f t="shared" si="6"/>
        <v/>
      </c>
      <c r="N10" s="57">
        <f t="shared" si="3"/>
        <v>0</v>
      </c>
      <c r="O10" s="57" t="str">
        <f t="shared" si="7"/>
        <v>#NUM!</v>
      </c>
      <c r="P10" s="48"/>
    </row>
    <row r="11">
      <c r="A11" s="9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58" t="str">
        <f t="shared" si="5"/>
        <v/>
      </c>
      <c r="M11" s="58" t="str">
        <f t="shared" si="6"/>
        <v/>
      </c>
      <c r="N11" s="58">
        <f t="shared" si="3"/>
        <v>0</v>
      </c>
      <c r="O11" s="58" t="str">
        <f t="shared" si="7"/>
        <v>#NUM!</v>
      </c>
      <c r="P11" s="48"/>
    </row>
    <row r="12">
      <c r="A12" s="10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59" t="str">
        <f t="shared" si="5"/>
        <v/>
      </c>
      <c r="M12" s="59" t="str">
        <f t="shared" si="6"/>
        <v/>
      </c>
      <c r="N12" s="59">
        <f t="shared" si="3"/>
        <v>0</v>
      </c>
      <c r="O12" s="59" t="str">
        <f t="shared" si="7"/>
        <v>#NUM!</v>
      </c>
      <c r="P12" s="48"/>
    </row>
    <row r="13">
      <c r="A13" s="11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34" t="str">
        <f t="shared" si="5"/>
        <v/>
      </c>
      <c r="M13" s="34" t="str">
        <f t="shared" si="6"/>
        <v/>
      </c>
      <c r="N13" s="34">
        <f t="shared" si="3"/>
        <v>0</v>
      </c>
      <c r="O13" s="34" t="str">
        <f t="shared" si="7"/>
        <v>#NUM!</v>
      </c>
      <c r="P13" s="48"/>
    </row>
    <row r="14">
      <c r="A14" s="12" t="s">
        <v>12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60" t="str">
        <f t="shared" si="5"/>
        <v/>
      </c>
      <c r="M14" s="60" t="str">
        <f t="shared" si="6"/>
        <v/>
      </c>
      <c r="N14" s="60">
        <f t="shared" si="3"/>
        <v>0</v>
      </c>
      <c r="O14" s="60" t="str">
        <f t="shared" si="7"/>
        <v>#NUM!</v>
      </c>
      <c r="P14" s="48"/>
    </row>
    <row r="16">
      <c r="A16" s="61" t="s">
        <v>29</v>
      </c>
      <c r="B16" s="62"/>
    </row>
    <row r="17">
      <c r="A17" s="63" t="s">
        <v>30</v>
      </c>
      <c r="B17" s="64">
        <f>sum(B5:K14)</f>
        <v>912</v>
      </c>
    </row>
    <row r="18">
      <c r="A18" s="65" t="s">
        <v>31</v>
      </c>
      <c r="B18" s="66">
        <f>count(L5:L14)</f>
        <v>3</v>
      </c>
    </row>
    <row r="19">
      <c r="A19" s="67" t="s">
        <v>32</v>
      </c>
      <c r="B19" s="68">
        <f>count(B5:K14)</f>
        <v>24</v>
      </c>
    </row>
    <row r="20">
      <c r="A20" s="69" t="s">
        <v>33</v>
      </c>
      <c r="B20" s="70">
        <f>divide(B17,B19)</f>
        <v>38</v>
      </c>
    </row>
    <row r="21">
      <c r="A21" s="71" t="s">
        <v>34</v>
      </c>
      <c r="B21" s="72" t="str">
        <f>IF(max(M5:M14)-min(M5:M14)&lt;=min(M5:M14),"YES","NO")  </f>
        <v>YES</v>
      </c>
    </row>
    <row r="23">
      <c r="A23" s="2" t="s">
        <v>35</v>
      </c>
    </row>
    <row r="24">
      <c r="A24" s="2"/>
      <c r="B24" s="2" t="s">
        <v>36</v>
      </c>
      <c r="C24" s="2" t="s">
        <v>37</v>
      </c>
      <c r="D24" s="2" t="s">
        <v>38</v>
      </c>
      <c r="E24" s="2" t="s">
        <v>39</v>
      </c>
      <c r="F24" s="2" t="s">
        <v>40</v>
      </c>
      <c r="G24" s="2" t="s">
        <v>41</v>
      </c>
      <c r="H24" s="2" t="s">
        <v>42</v>
      </c>
      <c r="I24" s="2" t="s">
        <v>43</v>
      </c>
    </row>
    <row r="25">
      <c r="A25" s="3" t="s">
        <v>3</v>
      </c>
      <c r="B25" s="51">
        <f>L5-B20 </f>
        <v>-7.25</v>
      </c>
      <c r="C25" s="51">
        <f t="shared" ref="C25:C34" si="8">POWER(B25,2)</f>
        <v>52.5625</v>
      </c>
      <c r="D25" s="51">
        <f t="shared" ref="D25:D26" si="9">MULTIPLY(C25,N5)</f>
        <v>420.5</v>
      </c>
      <c r="E25" s="51">
        <f t="shared" ref="E25:E34" si="10">N5-1</f>
        <v>7</v>
      </c>
      <c r="F25" s="51">
        <f t="shared" ref="F25:F34" si="11">power(M5,2)</f>
        <v>85.64285714</v>
      </c>
      <c r="G25" s="51">
        <f t="shared" ref="G25:G34" si="12">MULTIPLY(E25,F25)</f>
        <v>599.5</v>
      </c>
      <c r="H25" s="3" t="s">
        <v>20</v>
      </c>
      <c r="I25" s="3" t="s">
        <v>20</v>
      </c>
    </row>
    <row r="26">
      <c r="A26" s="4" t="s">
        <v>4</v>
      </c>
      <c r="B26" s="53">
        <f>L6-B20 </f>
        <v>-4</v>
      </c>
      <c r="C26" s="53">
        <f t="shared" si="8"/>
        <v>16</v>
      </c>
      <c r="D26" s="53">
        <f t="shared" si="9"/>
        <v>128</v>
      </c>
      <c r="E26" s="53">
        <f t="shared" si="10"/>
        <v>7</v>
      </c>
      <c r="F26" s="53">
        <f t="shared" si="11"/>
        <v>214</v>
      </c>
      <c r="G26" s="53">
        <f t="shared" si="12"/>
        <v>1498</v>
      </c>
      <c r="H26" s="53">
        <f>sum(D25,D26)</f>
        <v>548.5</v>
      </c>
      <c r="I26" s="53">
        <f>sum(G26,G25)</f>
        <v>2097.5</v>
      </c>
    </row>
    <row r="27">
      <c r="A27" s="5" t="s">
        <v>5</v>
      </c>
      <c r="B27" s="54">
        <f>L7-B20 </f>
        <v>11.25</v>
      </c>
      <c r="C27" s="54">
        <f t="shared" si="8"/>
        <v>126.5625</v>
      </c>
      <c r="D27" s="54">
        <f t="shared" ref="D27:D28" si="13">MULTIPLY(N7,C27)</f>
        <v>1012.5</v>
      </c>
      <c r="E27" s="54">
        <f t="shared" si="10"/>
        <v>7</v>
      </c>
      <c r="F27" s="54">
        <f t="shared" si="11"/>
        <v>116.5</v>
      </c>
      <c r="G27" s="54">
        <f t="shared" si="12"/>
        <v>815.5</v>
      </c>
      <c r="H27" s="54">
        <f t="shared" ref="H27:H32" si="14">sum(H26,D27)</f>
        <v>1561</v>
      </c>
      <c r="I27" s="54">
        <f>SUM(I26,G27)</f>
        <v>2913</v>
      </c>
    </row>
    <row r="28">
      <c r="A28" s="6" t="s">
        <v>6</v>
      </c>
      <c r="B28" s="55">
        <f>L8-B20 </f>
        <v>-38</v>
      </c>
      <c r="C28" s="55">
        <f t="shared" si="8"/>
        <v>1444</v>
      </c>
      <c r="D28" s="55">
        <f t="shared" si="13"/>
        <v>0</v>
      </c>
      <c r="E28" s="55">
        <f t="shared" si="10"/>
        <v>-1</v>
      </c>
      <c r="F28" s="55">
        <f t="shared" si="11"/>
        <v>0</v>
      </c>
      <c r="G28" s="55">
        <f t="shared" si="12"/>
        <v>0</v>
      </c>
      <c r="H28" s="55">
        <f t="shared" si="14"/>
        <v>1561</v>
      </c>
      <c r="I28" s="55">
        <f t="shared" ref="I28:I34" si="15">sum(I27,G28)</f>
        <v>2913</v>
      </c>
    </row>
    <row r="29">
      <c r="A29" s="7" t="s">
        <v>7</v>
      </c>
      <c r="B29" s="56">
        <f>L9-B20 </f>
        <v>-38</v>
      </c>
      <c r="C29" s="56">
        <f t="shared" si="8"/>
        <v>1444</v>
      </c>
      <c r="D29" s="56">
        <f t="shared" ref="D29:D34" si="16">multiply(C29,N9)</f>
        <v>0</v>
      </c>
      <c r="E29" s="56">
        <f t="shared" si="10"/>
        <v>-1</v>
      </c>
      <c r="F29" s="56">
        <f t="shared" si="11"/>
        <v>0</v>
      </c>
      <c r="G29" s="56">
        <f t="shared" si="12"/>
        <v>0</v>
      </c>
      <c r="H29" s="56">
        <f t="shared" si="14"/>
        <v>1561</v>
      </c>
      <c r="I29" s="56">
        <f t="shared" si="15"/>
        <v>2913</v>
      </c>
    </row>
    <row r="30">
      <c r="A30" s="8" t="s">
        <v>8</v>
      </c>
      <c r="B30" s="57">
        <f>L10-B20 </f>
        <v>-38</v>
      </c>
      <c r="C30" s="57">
        <f t="shared" si="8"/>
        <v>1444</v>
      </c>
      <c r="D30" s="57">
        <f t="shared" si="16"/>
        <v>0</v>
      </c>
      <c r="E30" s="57">
        <f t="shared" si="10"/>
        <v>-1</v>
      </c>
      <c r="F30" s="57">
        <f t="shared" si="11"/>
        <v>0</v>
      </c>
      <c r="G30" s="57">
        <f t="shared" si="12"/>
        <v>0</v>
      </c>
      <c r="H30" s="57">
        <f t="shared" si="14"/>
        <v>1561</v>
      </c>
      <c r="I30" s="57">
        <f t="shared" si="15"/>
        <v>2913</v>
      </c>
    </row>
    <row r="31">
      <c r="A31" s="9" t="s">
        <v>9</v>
      </c>
      <c r="B31" s="58">
        <f>L11-B20 </f>
        <v>-38</v>
      </c>
      <c r="C31" s="58">
        <f t="shared" si="8"/>
        <v>1444</v>
      </c>
      <c r="D31" s="58">
        <f t="shared" si="16"/>
        <v>0</v>
      </c>
      <c r="E31" s="58">
        <f t="shared" si="10"/>
        <v>-1</v>
      </c>
      <c r="F31" s="58">
        <f t="shared" si="11"/>
        <v>0</v>
      </c>
      <c r="G31" s="58">
        <f t="shared" si="12"/>
        <v>0</v>
      </c>
      <c r="H31" s="58">
        <f t="shared" si="14"/>
        <v>1561</v>
      </c>
      <c r="I31" s="58">
        <f t="shared" si="15"/>
        <v>2913</v>
      </c>
    </row>
    <row r="32">
      <c r="A32" s="10" t="s">
        <v>10</v>
      </c>
      <c r="B32" s="59">
        <f>L12-B20 </f>
        <v>-38</v>
      </c>
      <c r="C32" s="59">
        <f t="shared" si="8"/>
        <v>1444</v>
      </c>
      <c r="D32" s="59">
        <f t="shared" si="16"/>
        <v>0</v>
      </c>
      <c r="E32" s="59">
        <f t="shared" si="10"/>
        <v>-1</v>
      </c>
      <c r="F32" s="59">
        <f t="shared" si="11"/>
        <v>0</v>
      </c>
      <c r="G32" s="59">
        <f t="shared" si="12"/>
        <v>0</v>
      </c>
      <c r="H32" s="59">
        <f t="shared" si="14"/>
        <v>1561</v>
      </c>
      <c r="I32" s="59">
        <f t="shared" si="15"/>
        <v>2913</v>
      </c>
    </row>
    <row r="33">
      <c r="A33" s="23" t="s">
        <v>11</v>
      </c>
      <c r="B33" s="34">
        <f>L13-B20 </f>
        <v>-38</v>
      </c>
      <c r="C33" s="34">
        <f t="shared" si="8"/>
        <v>1444</v>
      </c>
      <c r="D33" s="34">
        <f t="shared" si="16"/>
        <v>0</v>
      </c>
      <c r="E33" s="34">
        <f t="shared" si="10"/>
        <v>-1</v>
      </c>
      <c r="F33" s="34">
        <f t="shared" si="11"/>
        <v>0</v>
      </c>
      <c r="G33" s="34">
        <f t="shared" si="12"/>
        <v>0</v>
      </c>
      <c r="H33" s="34">
        <f>SUM(H32,D33)</f>
        <v>1561</v>
      </c>
      <c r="I33" s="34">
        <f t="shared" si="15"/>
        <v>2913</v>
      </c>
    </row>
    <row r="34">
      <c r="A34" s="11" t="s">
        <v>12</v>
      </c>
      <c r="B34" s="60">
        <f>L14-B20 </f>
        <v>-38</v>
      </c>
      <c r="C34" s="60">
        <f t="shared" si="8"/>
        <v>1444</v>
      </c>
      <c r="D34" s="60">
        <f t="shared" si="16"/>
        <v>0</v>
      </c>
      <c r="E34" s="60">
        <f t="shared" si="10"/>
        <v>-1</v>
      </c>
      <c r="F34" s="60">
        <f t="shared" si="11"/>
        <v>0</v>
      </c>
      <c r="G34" s="60">
        <f t="shared" si="12"/>
        <v>0</v>
      </c>
      <c r="H34" s="60">
        <f>sum(H33,D34)</f>
        <v>1561</v>
      </c>
      <c r="I34" s="60">
        <f t="shared" si="15"/>
        <v>2913</v>
      </c>
    </row>
    <row r="36">
      <c r="A36" s="2" t="s">
        <v>44</v>
      </c>
      <c r="V36" s="73"/>
      <c r="W36" s="73"/>
    </row>
    <row r="37">
      <c r="A37" s="74" t="s">
        <v>45</v>
      </c>
      <c r="B37" s="75" t="s">
        <v>46</v>
      </c>
      <c r="C37" s="76" t="s">
        <v>47</v>
      </c>
      <c r="D37" s="77" t="s">
        <v>48</v>
      </c>
      <c r="E37" s="71" t="s">
        <v>8</v>
      </c>
      <c r="G37" s="48"/>
      <c r="H37" s="48"/>
      <c r="I37" s="48"/>
      <c r="J37" s="48"/>
      <c r="K37" s="48"/>
      <c r="L37" s="46"/>
      <c r="M37" s="48"/>
      <c r="N37" s="48"/>
      <c r="O37" s="48"/>
      <c r="P37" s="48"/>
      <c r="Q37" s="48"/>
      <c r="S37" s="78"/>
      <c r="T37" s="78"/>
      <c r="U37" s="46"/>
      <c r="V37" s="78"/>
      <c r="W37" s="78"/>
      <c r="Y37" s="78"/>
      <c r="Z37" s="78"/>
    </row>
    <row r="38">
      <c r="A38" s="75" t="s">
        <v>49</v>
      </c>
      <c r="B38" s="26">
        <f>B18-1</f>
        <v>2</v>
      </c>
      <c r="C38" s="27">
        <f>max(H26:H34)</f>
        <v>1561</v>
      </c>
      <c r="D38" s="28">
        <f t="shared" ref="D38:D39" si="17">divide(C38,B38)</f>
        <v>780.5</v>
      </c>
      <c r="E38" s="29">
        <f>divide(D38,D39)</f>
        <v>5.626673532</v>
      </c>
      <c r="G38" s="48"/>
      <c r="H38" s="46"/>
      <c r="I38" s="46"/>
      <c r="J38" s="46"/>
      <c r="K38" s="46"/>
      <c r="L38" s="46"/>
      <c r="M38" s="48"/>
      <c r="N38" s="46"/>
      <c r="O38" s="46"/>
      <c r="P38" s="46"/>
      <c r="Q38" s="46"/>
      <c r="S38" s="78"/>
      <c r="T38" s="78"/>
      <c r="U38" s="46"/>
      <c r="V38" s="78"/>
      <c r="W38" s="78"/>
      <c r="Y38" s="78"/>
      <c r="Z38" s="78"/>
    </row>
    <row r="39">
      <c r="A39" s="76" t="s">
        <v>50</v>
      </c>
      <c r="B39" s="27">
        <f>B19-B18 </f>
        <v>21</v>
      </c>
      <c r="C39" s="27">
        <f>max(I26:I34)</f>
        <v>2913</v>
      </c>
      <c r="D39" s="28">
        <f t="shared" si="17"/>
        <v>138.7142857</v>
      </c>
      <c r="E39" s="29"/>
      <c r="G39" s="48"/>
      <c r="H39" s="46"/>
      <c r="I39" s="46"/>
      <c r="J39" s="46"/>
      <c r="K39" s="46"/>
      <c r="L39" s="46"/>
      <c r="M39" s="48"/>
      <c r="N39" s="46"/>
      <c r="O39" s="46"/>
      <c r="P39" s="46"/>
      <c r="Q39" s="46"/>
      <c r="S39" s="78"/>
      <c r="T39" s="78"/>
      <c r="U39" s="46"/>
      <c r="V39" s="78"/>
      <c r="W39" s="78"/>
      <c r="Y39" s="78"/>
      <c r="Z39" s="78"/>
    </row>
    <row r="40">
      <c r="A40" s="77" t="s">
        <v>13</v>
      </c>
      <c r="B40" s="28">
        <f t="shared" ref="B40:C40" si="18">SUM(B38:B39)</f>
        <v>23</v>
      </c>
      <c r="C40" s="28">
        <f t="shared" si="18"/>
        <v>4474</v>
      </c>
      <c r="D40" s="28"/>
      <c r="E40" s="29"/>
      <c r="G40" s="48"/>
      <c r="H40" s="46"/>
      <c r="I40" s="46"/>
      <c r="J40" s="46"/>
      <c r="K40" s="46"/>
      <c r="L40" s="46"/>
      <c r="M40" s="48"/>
      <c r="N40" s="46"/>
      <c r="O40" s="46"/>
      <c r="P40" s="46"/>
      <c r="Q40" s="46"/>
      <c r="S40" s="78"/>
      <c r="T40" s="78"/>
      <c r="U40" s="46"/>
      <c r="V40" s="78"/>
      <c r="W40" s="78"/>
      <c r="Y40" s="78"/>
      <c r="Z40" s="78"/>
    </row>
    <row r="41">
      <c r="A41" s="73"/>
      <c r="B41" s="73"/>
      <c r="C41" s="73"/>
      <c r="D41" s="73"/>
      <c r="E41" s="73"/>
    </row>
    <row r="42">
      <c r="A42" s="79" t="s">
        <v>51</v>
      </c>
      <c r="B42" s="80"/>
      <c r="C42" s="80"/>
      <c r="D42" s="80"/>
      <c r="E42" s="80"/>
    </row>
    <row r="43">
      <c r="A43" s="52" t="s">
        <v>52</v>
      </c>
      <c r="B43" s="48"/>
      <c r="C43" s="48"/>
      <c r="D43" s="48"/>
      <c r="E43" s="48"/>
      <c r="F43" s="48"/>
      <c r="G43" s="52" t="s">
        <v>53</v>
      </c>
      <c r="H43" s="48"/>
      <c r="I43" s="48"/>
      <c r="J43" s="48"/>
      <c r="K43" s="48"/>
      <c r="L43" s="46"/>
      <c r="M43" s="46"/>
      <c r="N43" s="52"/>
      <c r="O43" s="46"/>
      <c r="P43" s="46"/>
      <c r="Q43" s="46"/>
      <c r="R43" s="46"/>
      <c r="S43" s="81" t="s">
        <v>54</v>
      </c>
      <c r="T43" s="46"/>
      <c r="U43" s="46"/>
      <c r="V43" s="46"/>
      <c r="W43" s="46"/>
      <c r="X43" s="46"/>
      <c r="Y43" s="46"/>
      <c r="Z43" s="46"/>
    </row>
    <row r="44">
      <c r="A44" s="73"/>
      <c r="B44" s="82"/>
      <c r="C44" s="83" t="s">
        <v>3</v>
      </c>
      <c r="D44" s="84" t="s">
        <v>4</v>
      </c>
      <c r="E44" s="85" t="s">
        <v>5</v>
      </c>
      <c r="F44" s="86" t="s">
        <v>6</v>
      </c>
      <c r="G44" s="87" t="s">
        <v>7</v>
      </c>
      <c r="H44" s="88" t="s">
        <v>8</v>
      </c>
      <c r="I44" s="89" t="s">
        <v>9</v>
      </c>
      <c r="J44" s="90" t="s">
        <v>10</v>
      </c>
      <c r="K44" s="91" t="s">
        <v>11</v>
      </c>
      <c r="L44" s="92" t="s">
        <v>12</v>
      </c>
      <c r="N44" s="82"/>
      <c r="O44" s="83" t="s">
        <v>3</v>
      </c>
      <c r="P44" s="84" t="s">
        <v>4</v>
      </c>
      <c r="Q44" s="85" t="s">
        <v>5</v>
      </c>
      <c r="R44" s="86" t="s">
        <v>6</v>
      </c>
      <c r="S44" s="87" t="s">
        <v>7</v>
      </c>
      <c r="T44" s="88" t="s">
        <v>8</v>
      </c>
      <c r="U44" s="89" t="s">
        <v>9</v>
      </c>
      <c r="V44" s="90" t="s">
        <v>10</v>
      </c>
      <c r="W44" s="91" t="s">
        <v>11</v>
      </c>
      <c r="X44" s="92" t="s">
        <v>12</v>
      </c>
    </row>
    <row r="45">
      <c r="A45" s="80"/>
      <c r="B45" s="83" t="s">
        <v>3</v>
      </c>
      <c r="C45" s="93" t="s">
        <v>20</v>
      </c>
      <c r="D45" s="93">
        <f>L5-L6 </f>
        <v>-3.25</v>
      </c>
      <c r="E45" s="93">
        <f>L5-L7 </f>
        <v>-18.5</v>
      </c>
      <c r="F45" s="93">
        <f>L5-L8 </f>
        <v>30.75</v>
      </c>
      <c r="G45" s="93">
        <f>L5-L9 </f>
        <v>30.75</v>
      </c>
      <c r="H45" s="93">
        <f>L5-L10 </f>
        <v>30.75</v>
      </c>
      <c r="I45" s="93">
        <f>L5-L11 </f>
        <v>30.75</v>
      </c>
      <c r="J45" s="93">
        <f>L5-L12 </f>
        <v>30.75</v>
      </c>
      <c r="K45" s="93">
        <f>L5-L13 </f>
        <v>30.75</v>
      </c>
      <c r="L45" s="94">
        <f>L5-L14 </f>
        <v>30.75</v>
      </c>
      <c r="N45" s="83" t="s">
        <v>3</v>
      </c>
      <c r="O45" s="95" t="s">
        <v>20</v>
      </c>
      <c r="P45" s="93">
        <f>sum(O5,O6)</f>
        <v>0.25</v>
      </c>
      <c r="Q45" s="93">
        <f>sum(O5,O7)</f>
        <v>0.25</v>
      </c>
      <c r="R45" s="93" t="str">
        <f>SUM(O5,O8)</f>
        <v>#NUM!</v>
      </c>
      <c r="S45" s="93" t="str">
        <f>sum(O5,O9)</f>
        <v>#NUM!</v>
      </c>
      <c r="T45" s="93" t="str">
        <f>SUM(O5,O10)</f>
        <v>#NUM!</v>
      </c>
      <c r="U45" s="93" t="str">
        <f>sum(O5,O11)</f>
        <v>#NUM!</v>
      </c>
      <c r="V45" s="93" t="str">
        <f>sum(O12,O5)</f>
        <v>#NUM!</v>
      </c>
      <c r="W45" s="93"/>
      <c r="X45" s="94"/>
    </row>
    <row r="46">
      <c r="A46" s="80"/>
      <c r="B46" s="84" t="s">
        <v>4</v>
      </c>
      <c r="C46" s="96">
        <f>L6-L5 </f>
        <v>3.25</v>
      </c>
      <c r="D46" s="96" t="s">
        <v>20</v>
      </c>
      <c r="E46" s="96">
        <f>L6-L7 </f>
        <v>-15.25</v>
      </c>
      <c r="F46" s="96">
        <f>L6-L8 </f>
        <v>34</v>
      </c>
      <c r="G46" s="96">
        <f>L6-L9 </f>
        <v>34</v>
      </c>
      <c r="H46" s="96">
        <f>L6-L10 </f>
        <v>34</v>
      </c>
      <c r="I46" s="96">
        <f>L6-L11 </f>
        <v>34</v>
      </c>
      <c r="J46" s="96">
        <f>L6-L12 </f>
        <v>34</v>
      </c>
      <c r="K46" s="96">
        <f>L6-L13 </f>
        <v>34</v>
      </c>
      <c r="L46" s="97">
        <f>L6-L14 </f>
        <v>34</v>
      </c>
      <c r="N46" s="84" t="s">
        <v>4</v>
      </c>
      <c r="O46" s="96">
        <f>sum(O5,O6)</f>
        <v>0.25</v>
      </c>
      <c r="P46" s="98" t="s">
        <v>20</v>
      </c>
      <c r="Q46" s="96">
        <f>sum(O6,O7)</f>
        <v>0.25</v>
      </c>
      <c r="R46" s="96" t="str">
        <f>sum(O6,O8)</f>
        <v>#NUM!</v>
      </c>
      <c r="S46" s="96" t="str">
        <f>sum(O9,O6)</f>
        <v>#NUM!</v>
      </c>
      <c r="T46" s="96" t="str">
        <f>sum(O10,O6)</f>
        <v>#NUM!</v>
      </c>
      <c r="U46" s="96" t="str">
        <f>sum(O6,O11)</f>
        <v>#NUM!</v>
      </c>
      <c r="V46" s="96" t="str">
        <f>sum(O6,O12)</f>
        <v>#NUM!</v>
      </c>
      <c r="W46" s="96"/>
      <c r="X46" s="97"/>
    </row>
    <row r="47">
      <c r="A47" s="80"/>
      <c r="B47" s="85" t="s">
        <v>5</v>
      </c>
      <c r="C47" s="99">
        <f>L7-L5 </f>
        <v>18.5</v>
      </c>
      <c r="D47" s="99">
        <f>L7-L6 </f>
        <v>15.25</v>
      </c>
      <c r="E47" s="99" t="s">
        <v>20</v>
      </c>
      <c r="F47" s="99">
        <f>L7-L8 </f>
        <v>49.25</v>
      </c>
      <c r="G47" s="99">
        <f>L7-L9 </f>
        <v>49.25</v>
      </c>
      <c r="H47" s="99">
        <f>L7-L10 </f>
        <v>49.25</v>
      </c>
      <c r="I47" s="99">
        <f>L7-L11 </f>
        <v>49.25</v>
      </c>
      <c r="J47" s="99">
        <f>L7-L12 </f>
        <v>49.25</v>
      </c>
      <c r="K47" s="99">
        <f>L7-L13 </f>
        <v>49.25</v>
      </c>
      <c r="L47" s="100">
        <f>L7-L14 </f>
        <v>49.25</v>
      </c>
      <c r="N47" s="85" t="s">
        <v>5</v>
      </c>
      <c r="O47" s="99">
        <f>sum(O5,O7)</f>
        <v>0.25</v>
      </c>
      <c r="P47" s="99">
        <f>sum(O6,O7)</f>
        <v>0.25</v>
      </c>
      <c r="Q47" s="101" t="s">
        <v>20</v>
      </c>
      <c r="R47" s="99" t="str">
        <f>sum(O7,O8)</f>
        <v>#NUM!</v>
      </c>
      <c r="S47" s="99" t="str">
        <f>sum(O7,O9)</f>
        <v>#NUM!</v>
      </c>
      <c r="T47" s="99" t="str">
        <f>sum(O7,O10)</f>
        <v>#NUM!</v>
      </c>
      <c r="U47" s="99" t="str">
        <f>sum(O7,O11)</f>
        <v>#NUM!</v>
      </c>
      <c r="V47" s="99"/>
      <c r="W47" s="99"/>
      <c r="X47" s="100"/>
    </row>
    <row r="48">
      <c r="A48" s="80"/>
      <c r="B48" s="86" t="s">
        <v>6</v>
      </c>
      <c r="C48" s="102">
        <f>L8-L5 </f>
        <v>-30.75</v>
      </c>
      <c r="D48" s="102">
        <f>L8-L6 </f>
        <v>-34</v>
      </c>
      <c r="E48" s="102">
        <f>L8-L7 </f>
        <v>-49.25</v>
      </c>
      <c r="F48" s="102" t="s">
        <v>20</v>
      </c>
      <c r="G48" s="102">
        <f>L8-L9 </f>
        <v>0</v>
      </c>
      <c r="H48" s="102">
        <f>L8-L10 </f>
        <v>0</v>
      </c>
      <c r="I48" s="102">
        <f>L8-L11 </f>
        <v>0</v>
      </c>
      <c r="J48" s="102">
        <f>L8-L12 </f>
        <v>0</v>
      </c>
      <c r="K48" s="102">
        <f>L8-L13 </f>
        <v>0</v>
      </c>
      <c r="L48" s="103">
        <f>L8-L14 </f>
        <v>0</v>
      </c>
      <c r="N48" s="86" t="s">
        <v>6</v>
      </c>
      <c r="O48" s="102" t="str">
        <f>sum(O5,O8)</f>
        <v>#NUM!</v>
      </c>
      <c r="P48" s="102" t="str">
        <f>sum(O8,O6)</f>
        <v>#NUM!</v>
      </c>
      <c r="Q48" s="102" t="str">
        <f>sum(O7,O8)</f>
        <v>#NUM!</v>
      </c>
      <c r="R48" s="104" t="s">
        <v>20</v>
      </c>
      <c r="S48" s="102" t="str">
        <f>sum(O8,O9)</f>
        <v>#NUM!</v>
      </c>
      <c r="T48" s="102" t="str">
        <f>sum(O8,O10)</f>
        <v>#NUM!</v>
      </c>
      <c r="U48" s="102" t="str">
        <f>sum(O8,O11)</f>
        <v>#NUM!</v>
      </c>
      <c r="V48" s="102"/>
      <c r="W48" s="102"/>
      <c r="X48" s="103"/>
    </row>
    <row r="49">
      <c r="A49" s="79" t="s">
        <v>55</v>
      </c>
      <c r="B49" s="87" t="s">
        <v>7</v>
      </c>
      <c r="C49" s="105">
        <f>L9-L5 </f>
        <v>-30.75</v>
      </c>
      <c r="D49" s="105">
        <f>L9-L6 </f>
        <v>-34</v>
      </c>
      <c r="E49" s="105">
        <f>L9-L7 </f>
        <v>-49.25</v>
      </c>
      <c r="F49" s="106">
        <f>L9-L8 </f>
        <v>0</v>
      </c>
      <c r="G49" s="105" t="s">
        <v>20</v>
      </c>
      <c r="H49" s="105">
        <f>L9-L10 </f>
        <v>0</v>
      </c>
      <c r="I49" s="105">
        <f>L9-L11 </f>
        <v>0</v>
      </c>
      <c r="J49" s="105">
        <f>L9-L12 </f>
        <v>0</v>
      </c>
      <c r="K49" s="105">
        <f>L9-L13 </f>
        <v>0</v>
      </c>
      <c r="L49" s="107">
        <f>L9-L14 </f>
        <v>0</v>
      </c>
      <c r="M49" s="108" t="s">
        <v>56</v>
      </c>
      <c r="N49" s="87" t="s">
        <v>7</v>
      </c>
      <c r="O49" s="105" t="str">
        <f>sum(O5,O9)</f>
        <v>#NUM!</v>
      </c>
      <c r="P49" s="105" t="str">
        <f>sum(O9,O6)</f>
        <v>#NUM!</v>
      </c>
      <c r="Q49" s="105" t="str">
        <f>sum(O7,O9)</f>
        <v>#NUM!</v>
      </c>
      <c r="R49" s="106" t="str">
        <f>sum(O8,O9)</f>
        <v>#NUM!</v>
      </c>
      <c r="S49" s="109" t="s">
        <v>20</v>
      </c>
      <c r="T49" s="105" t="str">
        <f>sum(O9,O10)</f>
        <v>#NUM!</v>
      </c>
      <c r="U49" s="105" t="str">
        <f>sum(O9,O11)</f>
        <v>#NUM!</v>
      </c>
      <c r="V49" s="105"/>
      <c r="W49" s="105"/>
      <c r="X49" s="107"/>
    </row>
    <row r="50">
      <c r="A50" s="80"/>
      <c r="B50" s="88" t="s">
        <v>8</v>
      </c>
      <c r="C50" s="110">
        <f>L10-L5 </f>
        <v>-30.75</v>
      </c>
      <c r="D50" s="110">
        <f>L10-L6 </f>
        <v>-34</v>
      </c>
      <c r="E50" s="110">
        <f>L10-L7 </f>
        <v>-49.25</v>
      </c>
      <c r="F50" s="110">
        <f>L10-L8 </f>
        <v>0</v>
      </c>
      <c r="G50" s="110">
        <f>L10-L9 </f>
        <v>0</v>
      </c>
      <c r="H50" s="110" t="s">
        <v>20</v>
      </c>
      <c r="I50" s="110">
        <f>L10-L11 </f>
        <v>0</v>
      </c>
      <c r="J50" s="110">
        <f>L10-L12 </f>
        <v>0</v>
      </c>
      <c r="K50" s="110">
        <f>L10-L13 </f>
        <v>0</v>
      </c>
      <c r="L50" s="111">
        <f>L10-L14 </f>
        <v>0</v>
      </c>
      <c r="N50" s="88" t="s">
        <v>8</v>
      </c>
      <c r="O50" s="110" t="str">
        <f>SUM(O5,O10)</f>
        <v>#NUM!</v>
      </c>
      <c r="P50" s="110" t="str">
        <f>sum(O10,O6)</f>
        <v>#NUM!</v>
      </c>
      <c r="Q50" s="110" t="str">
        <f>sum(O7,O10)</f>
        <v>#NUM!</v>
      </c>
      <c r="R50" s="110" t="str">
        <f>sum(O8,O10)</f>
        <v>#NUM!</v>
      </c>
      <c r="S50" s="110" t="str">
        <f>sum(O9,O10)</f>
        <v>#NUM!</v>
      </c>
      <c r="T50" s="112" t="s">
        <v>20</v>
      </c>
      <c r="U50" s="110" t="str">
        <f>sum(O11,O10)</f>
        <v>#NUM!</v>
      </c>
      <c r="V50" s="110"/>
      <c r="W50" s="110"/>
      <c r="X50" s="111"/>
    </row>
    <row r="51">
      <c r="A51" s="80"/>
      <c r="B51" s="89" t="s">
        <v>9</v>
      </c>
      <c r="C51" s="113">
        <f>L11-L5 </f>
        <v>-30.75</v>
      </c>
      <c r="D51" s="113">
        <f>L11-L6 </f>
        <v>-34</v>
      </c>
      <c r="E51" s="113">
        <f>L11-L7 </f>
        <v>-49.25</v>
      </c>
      <c r="F51" s="113">
        <f>L11-L8 </f>
        <v>0</v>
      </c>
      <c r="G51" s="113">
        <f>L11-L9 </f>
        <v>0</v>
      </c>
      <c r="H51" s="113">
        <f>L11-L10 </f>
        <v>0</v>
      </c>
      <c r="I51" s="113" t="s">
        <v>20</v>
      </c>
      <c r="J51" s="113">
        <f>L11-L12 </f>
        <v>0</v>
      </c>
      <c r="K51" s="113">
        <f>L11-L13 </f>
        <v>0</v>
      </c>
      <c r="L51" s="114">
        <f>L11-L14 </f>
        <v>0</v>
      </c>
      <c r="N51" s="89" t="s">
        <v>9</v>
      </c>
      <c r="O51" s="113" t="str">
        <f>sum(O5,O11)</f>
        <v>#NUM!</v>
      </c>
      <c r="P51" s="113" t="str">
        <f>sum(O6,O11)</f>
        <v>#NUM!</v>
      </c>
      <c r="Q51" s="113" t="str">
        <f>sum(O7,O11)</f>
        <v>#NUM!</v>
      </c>
      <c r="R51" s="113" t="str">
        <f>sum(O8,O11)</f>
        <v>#NUM!</v>
      </c>
      <c r="S51" s="113" t="str">
        <f>sum(O9,O11)</f>
        <v>#NUM!</v>
      </c>
      <c r="T51" s="113" t="str">
        <f>sum(O11,O10)</f>
        <v>#NUM!</v>
      </c>
      <c r="U51" s="115" t="s">
        <v>20</v>
      </c>
      <c r="V51" s="113"/>
      <c r="W51" s="113"/>
      <c r="X51" s="114"/>
    </row>
    <row r="52">
      <c r="A52" s="80"/>
      <c r="B52" s="90" t="s">
        <v>10</v>
      </c>
      <c r="C52" s="116">
        <f>L12-L5 </f>
        <v>-30.75</v>
      </c>
      <c r="D52" s="116">
        <f>L12-L6 </f>
        <v>-34</v>
      </c>
      <c r="E52" s="116">
        <f>L12-L7 </f>
        <v>-49.25</v>
      </c>
      <c r="F52" s="116">
        <f>L12-L8 </f>
        <v>0</v>
      </c>
      <c r="G52" s="116">
        <f>L12-L9 </f>
        <v>0</v>
      </c>
      <c r="H52" s="116">
        <f>L12-L10 </f>
        <v>0</v>
      </c>
      <c r="I52" s="116">
        <f>L12-L11 </f>
        <v>0</v>
      </c>
      <c r="J52" s="116" t="s">
        <v>20</v>
      </c>
      <c r="K52" s="116">
        <f>L12-L13 </f>
        <v>0</v>
      </c>
      <c r="L52" s="117">
        <f>L12-L14 </f>
        <v>0</v>
      </c>
      <c r="N52" s="90" t="s">
        <v>10</v>
      </c>
      <c r="O52" s="116" t="str">
        <f>sum(O12,O5)</f>
        <v>#NUM!</v>
      </c>
      <c r="P52" s="116" t="str">
        <f>SUM(O6,O12)</f>
        <v>#NUM!</v>
      </c>
      <c r="Q52" s="116"/>
      <c r="R52" s="116"/>
      <c r="S52" s="116"/>
      <c r="T52" s="116"/>
      <c r="U52" s="116"/>
      <c r="V52" s="118" t="s">
        <v>20</v>
      </c>
      <c r="W52" s="116"/>
      <c r="X52" s="117"/>
    </row>
    <row r="53">
      <c r="A53" s="80"/>
      <c r="B53" s="91" t="s">
        <v>11</v>
      </c>
      <c r="C53" s="119">
        <f>L13-L5 </f>
        <v>-30.75</v>
      </c>
      <c r="D53" s="119">
        <f>L13-L6 </f>
        <v>-34</v>
      </c>
      <c r="E53" s="119">
        <f>L13-L7 </f>
        <v>-49.25</v>
      </c>
      <c r="F53" s="119">
        <f>L13-L8 </f>
        <v>0</v>
      </c>
      <c r="G53" s="119">
        <f>L13-L9 </f>
        <v>0</v>
      </c>
      <c r="H53" s="119">
        <f>L13-L10 </f>
        <v>0</v>
      </c>
      <c r="I53" s="119">
        <f>L13-L11 </f>
        <v>0</v>
      </c>
      <c r="J53" s="119">
        <f>L13-L12 </f>
        <v>0</v>
      </c>
      <c r="K53" s="119" t="s">
        <v>20</v>
      </c>
      <c r="L53" s="120">
        <f>L13-L14 </f>
        <v>0</v>
      </c>
      <c r="N53" s="91" t="s">
        <v>11</v>
      </c>
      <c r="O53" s="119"/>
      <c r="P53" s="119"/>
      <c r="Q53" s="119"/>
      <c r="R53" s="119"/>
      <c r="S53" s="119"/>
      <c r="T53" s="119"/>
      <c r="U53" s="119"/>
      <c r="V53" s="119"/>
      <c r="W53" s="121" t="s">
        <v>20</v>
      </c>
      <c r="X53" s="120"/>
    </row>
    <row r="54">
      <c r="A54" s="80"/>
      <c r="B54" s="122" t="s">
        <v>12</v>
      </c>
      <c r="C54" s="123">
        <f>L14-L5 </f>
        <v>-30.75</v>
      </c>
      <c r="D54" s="123">
        <f>L14-L6 </f>
        <v>-34</v>
      </c>
      <c r="E54" s="123">
        <f>L14-L7 </f>
        <v>-49.25</v>
      </c>
      <c r="F54" s="123">
        <f>L14-L8 </f>
        <v>0</v>
      </c>
      <c r="G54" s="123">
        <f>L14-L9 </f>
        <v>0</v>
      </c>
      <c r="H54" s="123">
        <f>L14-L10 </f>
        <v>0</v>
      </c>
      <c r="I54" s="123">
        <f>L14-L11 </f>
        <v>0</v>
      </c>
      <c r="J54" s="123">
        <f>L14-L12 </f>
        <v>0</v>
      </c>
      <c r="K54" s="123">
        <f>L14-L13 </f>
        <v>0</v>
      </c>
      <c r="L54" s="124" t="s">
        <v>20</v>
      </c>
      <c r="N54" s="122" t="s">
        <v>12</v>
      </c>
      <c r="O54" s="123"/>
      <c r="P54" s="123"/>
      <c r="Q54" s="123"/>
      <c r="R54" s="123"/>
      <c r="S54" s="123"/>
      <c r="T54" s="123"/>
      <c r="U54" s="123"/>
      <c r="V54" s="123"/>
      <c r="W54" s="123"/>
      <c r="X54" s="125" t="s">
        <v>20</v>
      </c>
    </row>
    <row r="56">
      <c r="A56" s="2" t="s">
        <v>57</v>
      </c>
    </row>
    <row r="57">
      <c r="A57" s="52" t="s">
        <v>52</v>
      </c>
      <c r="B57" s="48"/>
      <c r="C57" s="48"/>
      <c r="D57" s="48"/>
      <c r="E57" s="48"/>
      <c r="F57" s="48"/>
      <c r="G57" s="52" t="s">
        <v>53</v>
      </c>
      <c r="H57" s="48"/>
      <c r="I57" s="48"/>
      <c r="J57" s="48"/>
      <c r="K57" s="48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>
      <c r="A58" s="73"/>
      <c r="B58" s="82"/>
      <c r="C58" s="83" t="s">
        <v>3</v>
      </c>
      <c r="D58" s="84" t="s">
        <v>4</v>
      </c>
      <c r="E58" s="85" t="s">
        <v>5</v>
      </c>
      <c r="F58" s="86" t="s">
        <v>6</v>
      </c>
      <c r="G58" s="87" t="s">
        <v>7</v>
      </c>
      <c r="H58" s="88" t="s">
        <v>8</v>
      </c>
      <c r="I58" s="89" t="s">
        <v>9</v>
      </c>
      <c r="J58" s="90" t="s">
        <v>10</v>
      </c>
      <c r="K58" s="91" t="s">
        <v>11</v>
      </c>
      <c r="L58" s="92" t="s">
        <v>12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126"/>
    </row>
    <row r="59">
      <c r="A59" s="80"/>
      <c r="B59" s="83" t="s">
        <v>3</v>
      </c>
      <c r="C59" s="93" t="s">
        <v>20</v>
      </c>
      <c r="D59" s="93">
        <f>power(multiply(D39,P45),0.5)</f>
        <v>5.888851452</v>
      </c>
      <c r="E59" s="93">
        <f>power(multiply(D39,Q45),0.5)</f>
        <v>5.888851452</v>
      </c>
      <c r="F59" s="93" t="str">
        <f>power(multiply(D39,R45),0.5)</f>
        <v>#NUM!</v>
      </c>
      <c r="G59" s="93" t="str">
        <f>power(multiply(D39,S45),0.5)</f>
        <v>#NUM!</v>
      </c>
      <c r="H59" s="93" t="str">
        <f>power(multiply(D39,T45),0.5)</f>
        <v>#NUM!</v>
      </c>
      <c r="I59" s="93" t="str">
        <f>power(multiply(D39,U45),0.5)</f>
        <v>#NUM!</v>
      </c>
      <c r="J59" s="93" t="str">
        <f>power(multiply(D39,V45),0.5)</f>
        <v>#NUM!</v>
      </c>
      <c r="K59" s="93">
        <f>power(multiply(D39,W45),0.5)</f>
        <v>0</v>
      </c>
      <c r="L59" s="94">
        <f>power(multiply(D39,X45),0.5)</f>
        <v>0</v>
      </c>
      <c r="N59" s="78"/>
      <c r="O59" s="127"/>
      <c r="P59" s="78"/>
      <c r="Q59" s="78"/>
      <c r="R59" s="78"/>
      <c r="S59" s="78"/>
      <c r="T59" s="78"/>
      <c r="U59" s="78"/>
      <c r="V59" s="78"/>
      <c r="W59" s="78"/>
      <c r="X59" s="126"/>
    </row>
    <row r="60">
      <c r="A60" s="80"/>
      <c r="B60" s="84" t="s">
        <v>4</v>
      </c>
      <c r="C60" s="96">
        <f>power(multiply(D39,O46),0.5)</f>
        <v>5.888851452</v>
      </c>
      <c r="D60" s="96" t="s">
        <v>20</v>
      </c>
      <c r="E60" s="96">
        <f>power(multiply(D39,Q46),0.5)</f>
        <v>5.888851452</v>
      </c>
      <c r="F60" s="96" t="str">
        <f>power(multiply(D39,R46),0.5)</f>
        <v>#NUM!</v>
      </c>
      <c r="G60" s="96" t="str">
        <f>power(multiply(D39,S46),0.5)</f>
        <v>#NUM!</v>
      </c>
      <c r="H60" s="96" t="str">
        <f>power(multiply(D39,T46),0.5)</f>
        <v>#NUM!</v>
      </c>
      <c r="I60" s="96" t="str">
        <f>power(multiply(D39,U46),0.5)</f>
        <v>#NUM!</v>
      </c>
      <c r="J60" s="96" t="str">
        <f>power(multiply(D39,V46),0.5)</f>
        <v>#NUM!</v>
      </c>
      <c r="K60" s="96">
        <f>power(multiply(D39,W46),0.5)</f>
        <v>0</v>
      </c>
      <c r="L60" s="97">
        <f>power(multiply(D39,X46),0.5)</f>
        <v>0</v>
      </c>
      <c r="N60" s="78"/>
      <c r="O60" s="78"/>
      <c r="P60" s="127"/>
      <c r="Q60" s="78"/>
      <c r="R60" s="78"/>
      <c r="S60" s="78"/>
      <c r="T60" s="78"/>
      <c r="U60" s="78"/>
      <c r="V60" s="78"/>
      <c r="W60" s="78"/>
      <c r="X60" s="126"/>
    </row>
    <row r="61">
      <c r="A61" s="80"/>
      <c r="B61" s="85" t="s">
        <v>5</v>
      </c>
      <c r="C61" s="99">
        <f>power(multiply(D39,O47),0.5)</f>
        <v>5.888851452</v>
      </c>
      <c r="D61" s="99">
        <f>power(multiply(D39,P47),0.5)</f>
        <v>5.888851452</v>
      </c>
      <c r="E61" s="99" t="s">
        <v>20</v>
      </c>
      <c r="F61" s="99" t="str">
        <f>power(multiply(D39,R47),0.5)</f>
        <v>#NUM!</v>
      </c>
      <c r="G61" s="99" t="str">
        <f>power(multiply(D39,S47),0.5)</f>
        <v>#NUM!</v>
      </c>
      <c r="H61" s="99" t="str">
        <f>power(multiply(D39,T47),0.5)</f>
        <v>#NUM!</v>
      </c>
      <c r="I61" s="99" t="str">
        <f>power(multiply(D39,U47),0.5)</f>
        <v>#NUM!</v>
      </c>
      <c r="J61" s="99">
        <f>power(multiply(D39,V47),0.5)</f>
        <v>0</v>
      </c>
      <c r="K61" s="99">
        <f>power(multiply(D39,W47),0.5)</f>
        <v>0</v>
      </c>
      <c r="L61" s="100">
        <f>power(multiply(D39,X47),0.5)</f>
        <v>0</v>
      </c>
      <c r="N61" s="78"/>
      <c r="O61" s="78"/>
      <c r="P61" s="78"/>
      <c r="Q61" s="127"/>
      <c r="R61" s="78"/>
      <c r="S61" s="78"/>
      <c r="T61" s="78"/>
      <c r="U61" s="78"/>
      <c r="V61" s="78"/>
      <c r="W61" s="78"/>
      <c r="X61" s="126"/>
    </row>
    <row r="62">
      <c r="A62" s="80"/>
      <c r="B62" s="86" t="s">
        <v>6</v>
      </c>
      <c r="C62" s="102" t="str">
        <f>power(multiply(D39,O48),0.5)</f>
        <v>#NUM!</v>
      </c>
      <c r="D62" s="102"/>
      <c r="E62" s="102" t="str">
        <f>power(multiply(D39,Q48),0.5)</f>
        <v>#NUM!</v>
      </c>
      <c r="F62" s="102" t="s">
        <v>20</v>
      </c>
      <c r="G62" s="102" t="str">
        <f>power(multiply(D39,S48),0.5)</f>
        <v>#NUM!</v>
      </c>
      <c r="H62" s="102" t="str">
        <f>power(multiply(D39,T48),0.5)</f>
        <v>#NUM!</v>
      </c>
      <c r="I62" s="102" t="str">
        <f>power(multiply(D39,U48),0.5)</f>
        <v>#NUM!</v>
      </c>
      <c r="J62" s="102">
        <f>power(multiply(D39,V48),0.5)</f>
        <v>0</v>
      </c>
      <c r="K62" s="102">
        <f>power(multiply(D39,W48),0.5)</f>
        <v>0</v>
      </c>
      <c r="L62" s="103">
        <f>power(multiply(D39,X48),0.5)</f>
        <v>0</v>
      </c>
      <c r="N62" s="78"/>
      <c r="O62" s="78"/>
      <c r="P62" s="78"/>
      <c r="Q62" s="78"/>
      <c r="R62" s="127"/>
      <c r="S62" s="78"/>
      <c r="T62" s="78"/>
      <c r="U62" s="78"/>
      <c r="V62" s="78"/>
      <c r="W62" s="78"/>
      <c r="X62" s="126"/>
    </row>
    <row r="63">
      <c r="A63" s="79" t="s">
        <v>55</v>
      </c>
      <c r="B63" s="87" t="s">
        <v>7</v>
      </c>
      <c r="C63" s="105" t="str">
        <f>power(multiply(D39,O49),0.5)</f>
        <v>#NUM!</v>
      </c>
      <c r="D63" s="105"/>
      <c r="E63" s="105" t="str">
        <f>power(multiply(D39,Q49),0.5)</f>
        <v>#NUM!</v>
      </c>
      <c r="F63" s="105" t="str">
        <f>power(multiply(D39,R49),0.5)</f>
        <v>#NUM!</v>
      </c>
      <c r="G63" s="105" t="s">
        <v>20</v>
      </c>
      <c r="H63" s="105" t="str">
        <f>power(multiply(D39,T49),0.5)</f>
        <v>#NUM!</v>
      </c>
      <c r="I63" s="105" t="str">
        <f>power(multiply(D39,U49),0.5)</f>
        <v>#NUM!</v>
      </c>
      <c r="J63" s="105">
        <f>power(multiply(D39,V49),0.5)</f>
        <v>0</v>
      </c>
      <c r="K63" s="105">
        <f>power(multiply(D39,W49),0.5)</f>
        <v>0</v>
      </c>
      <c r="L63" s="107">
        <f>power(multiply(D39,X49),0.5)</f>
        <v>0</v>
      </c>
      <c r="N63" s="78"/>
      <c r="O63" s="78"/>
      <c r="P63" s="78"/>
      <c r="Q63" s="78"/>
      <c r="R63" s="128"/>
      <c r="S63" s="127"/>
      <c r="T63" s="78"/>
      <c r="U63" s="78"/>
      <c r="V63" s="78"/>
      <c r="W63" s="78"/>
      <c r="X63" s="126"/>
    </row>
    <row r="64">
      <c r="A64" s="80"/>
      <c r="B64" s="88" t="s">
        <v>8</v>
      </c>
      <c r="C64" s="110" t="str">
        <f>power(multiply(D39,O50),0.5)</f>
        <v>#NUM!</v>
      </c>
      <c r="D64" s="110"/>
      <c r="E64" s="110" t="str">
        <f>power(multiply(D39,Q50),0.5)</f>
        <v>#NUM!</v>
      </c>
      <c r="F64" s="110" t="str">
        <f>power(multiply(D39,R50),0.5)</f>
        <v>#NUM!</v>
      </c>
      <c r="G64" s="110" t="str">
        <f>power(multiply(D39,S50),0.5)</f>
        <v>#NUM!</v>
      </c>
      <c r="H64" s="110" t="s">
        <v>20</v>
      </c>
      <c r="I64" s="110" t="str">
        <f>power(multiply(D39,U50),0.5)</f>
        <v>#NUM!</v>
      </c>
      <c r="J64" s="110">
        <f>power(multiply(D39,V50),0.5)</f>
        <v>0</v>
      </c>
      <c r="K64" s="110">
        <f>power(multiply(D39,W50),0.5)</f>
        <v>0</v>
      </c>
      <c r="L64" s="111">
        <f>power(multiply(D39,X50),0.5)</f>
        <v>0</v>
      </c>
      <c r="N64" s="78"/>
      <c r="O64" s="78"/>
      <c r="P64" s="78"/>
      <c r="Q64" s="78"/>
      <c r="R64" s="78"/>
      <c r="S64" s="78"/>
      <c r="T64" s="127"/>
      <c r="U64" s="78"/>
      <c r="V64" s="78"/>
      <c r="W64" s="78"/>
      <c r="X64" s="126"/>
    </row>
    <row r="65">
      <c r="A65" s="80"/>
      <c r="B65" s="89" t="s">
        <v>9</v>
      </c>
      <c r="C65" s="113" t="str">
        <f>power(multiply(D39,O51),0.5)</f>
        <v>#NUM!</v>
      </c>
      <c r="D65" s="113"/>
      <c r="E65" s="113" t="str">
        <f>power(multiply(D39,Q51),0.5)</f>
        <v>#NUM!</v>
      </c>
      <c r="F65" s="113" t="str">
        <f>power(multiply(D39,R51),0.5)</f>
        <v>#NUM!</v>
      </c>
      <c r="G65" s="113" t="str">
        <f>power(multiply(D39,S51),0.5)</f>
        <v>#NUM!</v>
      </c>
      <c r="H65" s="113" t="str">
        <f>power(multiply(D39,T51),0.5)</f>
        <v>#NUM!</v>
      </c>
      <c r="I65" s="113" t="s">
        <v>20</v>
      </c>
      <c r="J65" s="113">
        <f>power(multiply(D39,V51),0.5)</f>
        <v>0</v>
      </c>
      <c r="K65" s="113">
        <f>power(multiply(D39,W51),0.5)</f>
        <v>0</v>
      </c>
      <c r="L65" s="114">
        <f>power(multiply(D39,X51),0.5)</f>
        <v>0</v>
      </c>
      <c r="N65" s="78"/>
      <c r="O65" s="78"/>
      <c r="P65" s="78"/>
      <c r="Q65" s="78"/>
      <c r="R65" s="78"/>
      <c r="S65" s="78"/>
      <c r="T65" s="78"/>
      <c r="U65" s="127"/>
      <c r="V65" s="78"/>
      <c r="W65" s="78"/>
      <c r="X65" s="126"/>
    </row>
    <row r="66">
      <c r="A66" s="80"/>
      <c r="B66" s="90" t="s">
        <v>10</v>
      </c>
      <c r="C66" s="116" t="str">
        <f>power(multiply(D39,O52),0.5)</f>
        <v>#NUM!</v>
      </c>
      <c r="D66" s="116"/>
      <c r="E66" s="116">
        <f>power(multiply(D39,Q52),0.5)</f>
        <v>0</v>
      </c>
      <c r="F66" s="116">
        <f>power(multiply(D39,R52),0.5)</f>
        <v>0</v>
      </c>
      <c r="G66" s="116">
        <f>power(multiply(D39,S52),0.5)</f>
        <v>0</v>
      </c>
      <c r="H66" s="116">
        <f>power(multiply(D39,T52),0.5)</f>
        <v>0</v>
      </c>
      <c r="I66" s="116">
        <f>power(multiply(D39,U52),0.5)</f>
        <v>0</v>
      </c>
      <c r="J66" s="116" t="s">
        <v>20</v>
      </c>
      <c r="K66" s="116">
        <f>power(multiply(D39,W52),0.5)</f>
        <v>0</v>
      </c>
      <c r="L66" s="117">
        <f>power(multiply(D39,X52),0.5)</f>
        <v>0</v>
      </c>
      <c r="N66" s="78"/>
      <c r="O66" s="78"/>
      <c r="P66" s="78"/>
      <c r="Q66" s="78"/>
      <c r="R66" s="78"/>
      <c r="S66" s="78"/>
      <c r="T66" s="78"/>
      <c r="U66" s="78"/>
      <c r="V66" s="127"/>
      <c r="W66" s="78"/>
      <c r="X66" s="126"/>
    </row>
    <row r="67">
      <c r="A67" s="80"/>
      <c r="B67" s="91" t="s">
        <v>11</v>
      </c>
      <c r="C67" s="119">
        <f>power(multiply(D39,O53),0.5)</f>
        <v>0</v>
      </c>
      <c r="D67" s="119"/>
      <c r="E67" s="119">
        <f>power(multiply(D39,Q53),0.5)</f>
        <v>0</v>
      </c>
      <c r="F67" s="119">
        <f>power(multiply(D39,R53),0.5)</f>
        <v>0</v>
      </c>
      <c r="G67" s="119">
        <f>power(multiply(D39,S53),0.5)</f>
        <v>0</v>
      </c>
      <c r="H67" s="119">
        <f>power(multiply(D39,T53),0.5)</f>
        <v>0</v>
      </c>
      <c r="I67" s="119">
        <f>power(multiply(D39,U53),0.5)</f>
        <v>0</v>
      </c>
      <c r="J67" s="119">
        <f>power(multiply(D39,V53),0.5)</f>
        <v>0</v>
      </c>
      <c r="K67" s="119" t="s">
        <v>20</v>
      </c>
      <c r="L67" s="120">
        <f>power(multiply(D39,X53),0.5)</f>
        <v>0</v>
      </c>
      <c r="N67" s="78"/>
      <c r="O67" s="78"/>
      <c r="P67" s="78"/>
      <c r="Q67" s="78"/>
      <c r="R67" s="78"/>
      <c r="S67" s="78"/>
      <c r="T67" s="78"/>
      <c r="U67" s="78"/>
      <c r="V67" s="78"/>
      <c r="W67" s="127"/>
      <c r="X67" s="126"/>
    </row>
    <row r="68">
      <c r="A68" s="80"/>
      <c r="B68" s="122" t="s">
        <v>12</v>
      </c>
      <c r="C68" s="123">
        <f>power(multiply(D39,O54),0.5)</f>
        <v>0</v>
      </c>
      <c r="D68" s="123"/>
      <c r="E68" s="123">
        <f>power(multiply(D39,Q54),0.5)</f>
        <v>0</v>
      </c>
      <c r="F68" s="123">
        <f>power(multiply(D39,R54),0.5)</f>
        <v>0</v>
      </c>
      <c r="G68" s="123">
        <f>power(multiply(D39,S54),0.5)</f>
        <v>0</v>
      </c>
      <c r="H68" s="123">
        <f>power(multiply(D39,T54),0.5)</f>
        <v>0</v>
      </c>
      <c r="I68" s="123">
        <f>power(multiply(D39,U54),0.5)</f>
        <v>0</v>
      </c>
      <c r="J68" s="123">
        <f>power(multiply(D39,V54),0.5)</f>
        <v>0</v>
      </c>
      <c r="K68" s="123">
        <f>power(multiply(D39,W54),0.5)</f>
        <v>0</v>
      </c>
      <c r="L68" s="124" t="s">
        <v>20</v>
      </c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127"/>
    </row>
    <row r="69"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>
      <c r="A70" s="2" t="s">
        <v>58</v>
      </c>
    </row>
    <row r="71">
      <c r="A71" s="52" t="s">
        <v>52</v>
      </c>
      <c r="B71" s="48"/>
      <c r="C71" s="48"/>
      <c r="D71" s="48"/>
      <c r="E71" s="48"/>
      <c r="F71" s="48"/>
      <c r="G71" s="52" t="s">
        <v>53</v>
      </c>
      <c r="H71" s="48"/>
      <c r="I71" s="48"/>
      <c r="J71" s="48"/>
      <c r="K71" s="48"/>
      <c r="L71" s="46"/>
    </row>
    <row r="72">
      <c r="A72" s="73"/>
      <c r="B72" s="82"/>
      <c r="C72" s="83" t="s">
        <v>3</v>
      </c>
      <c r="D72" s="84" t="s">
        <v>4</v>
      </c>
      <c r="E72" s="85" t="s">
        <v>5</v>
      </c>
      <c r="F72" s="86" t="s">
        <v>6</v>
      </c>
      <c r="G72" s="87" t="s">
        <v>7</v>
      </c>
      <c r="H72" s="88" t="s">
        <v>8</v>
      </c>
      <c r="I72" s="89" t="s">
        <v>9</v>
      </c>
      <c r="J72" s="90" t="s">
        <v>10</v>
      </c>
      <c r="K72" s="91" t="s">
        <v>11</v>
      </c>
      <c r="L72" s="92" t="s">
        <v>12</v>
      </c>
    </row>
    <row r="73">
      <c r="A73" s="80"/>
      <c r="B73" s="83" t="s">
        <v>3</v>
      </c>
      <c r="C73" s="93" t="s">
        <v>20</v>
      </c>
      <c r="D73" s="93">
        <f t="shared" ref="D73:L73" si="19">divide(D45,D59)</f>
        <v>-0.5518903009</v>
      </c>
      <c r="E73" s="93">
        <f t="shared" si="19"/>
        <v>-3.141529405</v>
      </c>
      <c r="F73" s="93" t="str">
        <f t="shared" si="19"/>
        <v>#NUM!</v>
      </c>
      <c r="G73" s="93" t="str">
        <f t="shared" si="19"/>
        <v>#NUM!</v>
      </c>
      <c r="H73" s="93" t="str">
        <f t="shared" si="19"/>
        <v>#NUM!</v>
      </c>
      <c r="I73" s="93" t="str">
        <f t="shared" si="19"/>
        <v>#NUM!</v>
      </c>
      <c r="J73" s="93" t="str">
        <f t="shared" si="19"/>
        <v>#NUM!</v>
      </c>
      <c r="K73" s="93" t="str">
        <f t="shared" si="19"/>
        <v>#DIV/0!</v>
      </c>
      <c r="L73" s="93" t="str">
        <f t="shared" si="19"/>
        <v>#DIV/0!</v>
      </c>
    </row>
    <row r="74">
      <c r="A74" s="80"/>
      <c r="B74" s="84" t="s">
        <v>4</v>
      </c>
      <c r="C74" s="96">
        <f t="shared" ref="C74:C82" si="21">divide(C46,C60)</f>
        <v>0.5518903009</v>
      </c>
      <c r="D74" s="96" t="s">
        <v>20</v>
      </c>
      <c r="E74" s="96">
        <f t="shared" ref="E74:L74" si="20">divide(E46,E60)</f>
        <v>-2.589639104</v>
      </c>
      <c r="F74" s="96" t="str">
        <f t="shared" si="20"/>
        <v>#NUM!</v>
      </c>
      <c r="G74" s="96" t="str">
        <f t="shared" si="20"/>
        <v>#NUM!</v>
      </c>
      <c r="H74" s="96" t="str">
        <f t="shared" si="20"/>
        <v>#NUM!</v>
      </c>
      <c r="I74" s="96" t="str">
        <f t="shared" si="20"/>
        <v>#NUM!</v>
      </c>
      <c r="J74" s="96" t="str">
        <f t="shared" si="20"/>
        <v>#NUM!</v>
      </c>
      <c r="K74" s="96" t="str">
        <f t="shared" si="20"/>
        <v>#DIV/0!</v>
      </c>
      <c r="L74" s="96" t="str">
        <f t="shared" si="20"/>
        <v>#DIV/0!</v>
      </c>
    </row>
    <row r="75">
      <c r="A75" s="80"/>
      <c r="B75" s="85" t="s">
        <v>5</v>
      </c>
      <c r="C75" s="99">
        <f t="shared" si="21"/>
        <v>3.141529405</v>
      </c>
      <c r="D75" s="99">
        <f t="shared" ref="D75:D82" si="23">divide(D47,D61)</f>
        <v>2.589639104</v>
      </c>
      <c r="E75" s="101" t="s">
        <v>20</v>
      </c>
      <c r="F75" s="99" t="str">
        <f t="shared" ref="F75:L75" si="22">divide(F47,F61)</f>
        <v>#NUM!</v>
      </c>
      <c r="G75" s="99" t="str">
        <f t="shared" si="22"/>
        <v>#NUM!</v>
      </c>
      <c r="H75" s="99" t="str">
        <f t="shared" si="22"/>
        <v>#NUM!</v>
      </c>
      <c r="I75" s="99" t="str">
        <f t="shared" si="22"/>
        <v>#NUM!</v>
      </c>
      <c r="J75" s="99" t="str">
        <f t="shared" si="22"/>
        <v>#DIV/0!</v>
      </c>
      <c r="K75" s="99" t="str">
        <f t="shared" si="22"/>
        <v>#DIV/0!</v>
      </c>
      <c r="L75" s="99" t="str">
        <f t="shared" si="22"/>
        <v>#DIV/0!</v>
      </c>
    </row>
    <row r="76">
      <c r="A76" s="80"/>
      <c r="B76" s="86" t="s">
        <v>6</v>
      </c>
      <c r="C76" s="102" t="str">
        <f t="shared" si="21"/>
        <v>#NUM!</v>
      </c>
      <c r="D76" s="102" t="str">
        <f t="shared" si="23"/>
        <v>#DIV/0!</v>
      </c>
      <c r="E76" s="102" t="str">
        <f t="shared" ref="E76:E82" si="25">divide(E48,E62)</f>
        <v>#NUM!</v>
      </c>
      <c r="F76" s="104" t="s">
        <v>20</v>
      </c>
      <c r="G76" s="102" t="str">
        <f t="shared" ref="G76:L76" si="24">divide(G48,G62)</f>
        <v>#NUM!</v>
      </c>
      <c r="H76" s="102" t="str">
        <f t="shared" si="24"/>
        <v>#NUM!</v>
      </c>
      <c r="I76" s="102" t="str">
        <f t="shared" si="24"/>
        <v>#NUM!</v>
      </c>
      <c r="J76" s="102" t="str">
        <f t="shared" si="24"/>
        <v>#DIV/0!</v>
      </c>
      <c r="K76" s="102" t="str">
        <f t="shared" si="24"/>
        <v>#DIV/0!</v>
      </c>
      <c r="L76" s="102" t="str">
        <f t="shared" si="24"/>
        <v>#DIV/0!</v>
      </c>
    </row>
    <row r="77">
      <c r="A77" s="79" t="s">
        <v>55</v>
      </c>
      <c r="B77" s="87" t="s">
        <v>7</v>
      </c>
      <c r="C77" s="105" t="str">
        <f t="shared" si="21"/>
        <v>#NUM!</v>
      </c>
      <c r="D77" s="105" t="str">
        <f t="shared" si="23"/>
        <v>#DIV/0!</v>
      </c>
      <c r="E77" s="105" t="str">
        <f t="shared" si="25"/>
        <v>#NUM!</v>
      </c>
      <c r="F77" s="105" t="str">
        <f t="shared" ref="F77:F82" si="27">divide(F49,F63)</f>
        <v>#NUM!</v>
      </c>
      <c r="G77" s="109" t="s">
        <v>20</v>
      </c>
      <c r="H77" s="105" t="str">
        <f t="shared" ref="H77:L77" si="26">divide(H49,H63)</f>
        <v>#NUM!</v>
      </c>
      <c r="I77" s="105" t="str">
        <f t="shared" si="26"/>
        <v>#NUM!</v>
      </c>
      <c r="J77" s="105" t="str">
        <f t="shared" si="26"/>
        <v>#DIV/0!</v>
      </c>
      <c r="K77" s="105" t="str">
        <f t="shared" si="26"/>
        <v>#DIV/0!</v>
      </c>
      <c r="L77" s="105" t="str">
        <f t="shared" si="26"/>
        <v>#DIV/0!</v>
      </c>
    </row>
    <row r="78">
      <c r="A78" s="80"/>
      <c r="B78" s="88" t="s">
        <v>8</v>
      </c>
      <c r="C78" s="110" t="str">
        <f t="shared" si="21"/>
        <v>#NUM!</v>
      </c>
      <c r="D78" s="110" t="str">
        <f t="shared" si="23"/>
        <v>#DIV/0!</v>
      </c>
      <c r="E78" s="110" t="str">
        <f t="shared" si="25"/>
        <v>#NUM!</v>
      </c>
      <c r="F78" s="110" t="str">
        <f t="shared" si="27"/>
        <v>#NUM!</v>
      </c>
      <c r="G78" s="110" t="str">
        <f t="shared" ref="G78:G82" si="29">divide(G50,G64)</f>
        <v>#NUM!</v>
      </c>
      <c r="H78" s="112" t="s">
        <v>20</v>
      </c>
      <c r="I78" s="110" t="str">
        <f t="shared" ref="I78:L78" si="28">divide(I50,I64)</f>
        <v>#NUM!</v>
      </c>
      <c r="J78" s="110" t="str">
        <f t="shared" si="28"/>
        <v>#DIV/0!</v>
      </c>
      <c r="K78" s="110" t="str">
        <f t="shared" si="28"/>
        <v>#DIV/0!</v>
      </c>
      <c r="L78" s="110" t="str">
        <f t="shared" si="28"/>
        <v>#DIV/0!</v>
      </c>
    </row>
    <row r="79">
      <c r="A79" s="80"/>
      <c r="B79" s="89" t="s">
        <v>9</v>
      </c>
      <c r="C79" s="113" t="str">
        <f t="shared" si="21"/>
        <v>#NUM!</v>
      </c>
      <c r="D79" s="113" t="str">
        <f t="shared" si="23"/>
        <v>#DIV/0!</v>
      </c>
      <c r="E79" s="113" t="str">
        <f t="shared" si="25"/>
        <v>#NUM!</v>
      </c>
      <c r="F79" s="113" t="str">
        <f t="shared" si="27"/>
        <v>#NUM!</v>
      </c>
      <c r="G79" s="113" t="str">
        <f t="shared" si="29"/>
        <v>#NUM!</v>
      </c>
      <c r="H79" s="113" t="str">
        <f t="shared" ref="H79:H82" si="31">divide(H51,H65)</f>
        <v>#NUM!</v>
      </c>
      <c r="I79" s="115" t="s">
        <v>20</v>
      </c>
      <c r="J79" s="113" t="str">
        <f t="shared" ref="J79:L79" si="30">divide(J51,J65)</f>
        <v>#DIV/0!</v>
      </c>
      <c r="K79" s="113" t="str">
        <f t="shared" si="30"/>
        <v>#DIV/0!</v>
      </c>
      <c r="L79" s="113" t="str">
        <f t="shared" si="30"/>
        <v>#DIV/0!</v>
      </c>
    </row>
    <row r="80">
      <c r="A80" s="80"/>
      <c r="B80" s="90" t="s">
        <v>10</v>
      </c>
      <c r="C80" s="116" t="str">
        <f t="shared" si="21"/>
        <v>#NUM!</v>
      </c>
      <c r="D80" s="116" t="str">
        <f t="shared" si="23"/>
        <v>#DIV/0!</v>
      </c>
      <c r="E80" s="116" t="str">
        <f t="shared" si="25"/>
        <v>#DIV/0!</v>
      </c>
      <c r="F80" s="116" t="str">
        <f t="shared" si="27"/>
        <v>#DIV/0!</v>
      </c>
      <c r="G80" s="116" t="str">
        <f t="shared" si="29"/>
        <v>#DIV/0!</v>
      </c>
      <c r="H80" s="116" t="str">
        <f t="shared" si="31"/>
        <v>#DIV/0!</v>
      </c>
      <c r="I80" s="116" t="str">
        <f t="shared" ref="I80:I82" si="33">divide(I52,I66)</f>
        <v>#DIV/0!</v>
      </c>
      <c r="J80" s="118" t="s">
        <v>20</v>
      </c>
      <c r="K80" s="116" t="str">
        <f t="shared" ref="K80:L80" si="32">divide(K52,K66)</f>
        <v>#DIV/0!</v>
      </c>
      <c r="L80" s="116" t="str">
        <f t="shared" si="32"/>
        <v>#DIV/0!</v>
      </c>
    </row>
    <row r="81">
      <c r="A81" s="80"/>
      <c r="B81" s="91" t="s">
        <v>11</v>
      </c>
      <c r="C81" s="119" t="str">
        <f t="shared" si="21"/>
        <v>#DIV/0!</v>
      </c>
      <c r="D81" s="119" t="str">
        <f t="shared" si="23"/>
        <v>#DIV/0!</v>
      </c>
      <c r="E81" s="119" t="str">
        <f t="shared" si="25"/>
        <v>#DIV/0!</v>
      </c>
      <c r="F81" s="119" t="str">
        <f t="shared" si="27"/>
        <v>#DIV/0!</v>
      </c>
      <c r="G81" s="119" t="str">
        <f t="shared" si="29"/>
        <v>#DIV/0!</v>
      </c>
      <c r="H81" s="119" t="str">
        <f t="shared" si="31"/>
        <v>#DIV/0!</v>
      </c>
      <c r="I81" s="119" t="str">
        <f t="shared" si="33"/>
        <v>#DIV/0!</v>
      </c>
      <c r="J81" s="119" t="str">
        <f t="shared" ref="J81:J82" si="34">divide(J53,J67)</f>
        <v>#DIV/0!</v>
      </c>
      <c r="K81" s="121" t="s">
        <v>20</v>
      </c>
      <c r="L81" s="119" t="str">
        <f>divide(L53,L67)</f>
        <v>#DIV/0!</v>
      </c>
    </row>
    <row r="82">
      <c r="A82" s="80"/>
      <c r="B82" s="122" t="s">
        <v>12</v>
      </c>
      <c r="C82" s="123" t="str">
        <f t="shared" si="21"/>
        <v>#DIV/0!</v>
      </c>
      <c r="D82" s="123" t="str">
        <f t="shared" si="23"/>
        <v>#DIV/0!</v>
      </c>
      <c r="E82" s="123" t="str">
        <f t="shared" si="25"/>
        <v>#DIV/0!</v>
      </c>
      <c r="F82" s="123" t="str">
        <f t="shared" si="27"/>
        <v>#DIV/0!</v>
      </c>
      <c r="G82" s="123" t="str">
        <f t="shared" si="29"/>
        <v>#DIV/0!</v>
      </c>
      <c r="H82" s="123" t="str">
        <f t="shared" si="31"/>
        <v>#DIV/0!</v>
      </c>
      <c r="I82" s="123" t="str">
        <f t="shared" si="33"/>
        <v>#DIV/0!</v>
      </c>
      <c r="J82" s="123" t="str">
        <f t="shared" si="34"/>
        <v>#DIV/0!</v>
      </c>
      <c r="K82" s="123" t="str">
        <f>divide(K54,K68)</f>
        <v>#DIV/0!</v>
      </c>
      <c r="L82" s="124" t="s">
        <v>20</v>
      </c>
    </row>
    <row r="84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>
      <c r="A85" s="2" t="s">
        <v>59</v>
      </c>
    </row>
    <row r="86">
      <c r="A86" s="74" t="s">
        <v>45</v>
      </c>
      <c r="B86" s="75" t="s">
        <v>46</v>
      </c>
      <c r="C86" s="76" t="s">
        <v>47</v>
      </c>
      <c r="D86" s="77" t="s">
        <v>48</v>
      </c>
      <c r="E86" s="71" t="s">
        <v>8</v>
      </c>
    </row>
    <row r="87">
      <c r="A87" s="75" t="s">
        <v>49</v>
      </c>
      <c r="B87" s="130">
        <v>4.0</v>
      </c>
      <c r="C87" s="131">
        <v>3.0</v>
      </c>
      <c r="D87" s="28">
        <f t="shared" ref="D87:D88" si="35">divide(C87,B87)</f>
        <v>0.75</v>
      </c>
      <c r="E87" s="29">
        <f>divide(D87,D88)</f>
        <v>0.375</v>
      </c>
    </row>
    <row r="88">
      <c r="A88" s="76" t="s">
        <v>50</v>
      </c>
      <c r="B88" s="132">
        <v>2.0</v>
      </c>
      <c r="C88" s="133">
        <v>4.0</v>
      </c>
      <c r="D88" s="28">
        <f t="shared" si="35"/>
        <v>2</v>
      </c>
      <c r="E88" s="29"/>
    </row>
    <row r="89">
      <c r="A89" s="77" t="s">
        <v>13</v>
      </c>
      <c r="B89" s="28">
        <f t="shared" ref="B89:D89" si="36">sum(B87,B88)</f>
        <v>6</v>
      </c>
      <c r="C89" s="28">
        <f t="shared" si="36"/>
        <v>7</v>
      </c>
      <c r="D89" s="28">
        <f t="shared" si="36"/>
        <v>2.75</v>
      </c>
      <c r="E89" s="29"/>
    </row>
    <row r="91">
      <c r="A91" s="2" t="s">
        <v>60</v>
      </c>
    </row>
    <row r="92">
      <c r="A92" s="134" t="s">
        <v>61</v>
      </c>
      <c r="B92" s="64">
        <f>sum(B87,1)</f>
        <v>5</v>
      </c>
    </row>
    <row r="93">
      <c r="A93" s="135" t="s">
        <v>62</v>
      </c>
      <c r="B93" s="66">
        <f>sum(B89,1)</f>
        <v>7</v>
      </c>
    </row>
    <row r="94">
      <c r="A94" s="136" t="s">
        <v>63</v>
      </c>
      <c r="B94" s="137">
        <v>3.0</v>
      </c>
      <c r="C94" s="73"/>
      <c r="D94" s="46"/>
    </row>
    <row r="95">
      <c r="A95" s="138" t="s">
        <v>64</v>
      </c>
      <c r="B95" s="139">
        <v>2.0</v>
      </c>
      <c r="C95" s="73"/>
      <c r="D95" s="46"/>
    </row>
    <row r="96">
      <c r="A96" s="140" t="s">
        <v>65</v>
      </c>
      <c r="B96" s="141">
        <v>4.0</v>
      </c>
      <c r="C96" s="73"/>
    </row>
    <row r="97">
      <c r="A97" s="142" t="s">
        <v>66</v>
      </c>
      <c r="B97" s="143">
        <v>1.0</v>
      </c>
      <c r="C97" s="73"/>
    </row>
    <row r="99">
      <c r="A99" s="2" t="s">
        <v>67</v>
      </c>
    </row>
    <row r="100">
      <c r="A100" s="74" t="s">
        <v>68</v>
      </c>
      <c r="B100" s="25">
        <f>sum(power(B94,-1),power(B95,-1))</f>
        <v>0.8333333333</v>
      </c>
    </row>
    <row r="101">
      <c r="A101" s="75" t="s">
        <v>69</v>
      </c>
      <c r="B101" s="26">
        <f>B96-B97 </f>
        <v>3</v>
      </c>
    </row>
    <row r="102">
      <c r="A102" s="76" t="s">
        <v>70</v>
      </c>
      <c r="B102" s="49">
        <f>power(multiply(B100,D88),0.5)</f>
        <v>1.290994449</v>
      </c>
    </row>
    <row r="103">
      <c r="A103" s="77" t="s">
        <v>71</v>
      </c>
      <c r="B103" s="28">
        <f>divide(B101,B102)</f>
        <v>2.323790008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</row>
    <row r="3">
      <c r="A3" s="2" t="s">
        <v>73</v>
      </c>
      <c r="B3" s="48"/>
      <c r="C3" s="48"/>
      <c r="D3" s="48"/>
      <c r="E3" s="46"/>
      <c r="F3" s="46"/>
    </row>
    <row r="4">
      <c r="A4" s="144" t="s">
        <v>74</v>
      </c>
      <c r="B4" s="145" t="s">
        <v>75</v>
      </c>
      <c r="C4" s="146" t="s">
        <v>76</v>
      </c>
      <c r="D4" s="6" t="s">
        <v>77</v>
      </c>
      <c r="E4" s="46"/>
      <c r="F4" s="46"/>
    </row>
    <row r="5">
      <c r="A5" s="147">
        <v>1.0</v>
      </c>
      <c r="B5" s="148">
        <v>2.0</v>
      </c>
      <c r="C5" s="133">
        <v>3.0</v>
      </c>
      <c r="D5" s="17">
        <f>sum(A5,multiply(B5,C5))</f>
        <v>7</v>
      </c>
      <c r="E5" s="46"/>
      <c r="F5" s="46"/>
    </row>
    <row r="6">
      <c r="B6" s="48"/>
      <c r="C6" s="46"/>
      <c r="D6" s="46"/>
      <c r="E6" s="46"/>
      <c r="F6" s="46"/>
    </row>
    <row r="7">
      <c r="A7" s="2" t="s">
        <v>78</v>
      </c>
      <c r="B7" s="48"/>
      <c r="C7" s="46"/>
      <c r="D7" s="46"/>
      <c r="E7" s="46"/>
      <c r="F7" s="46"/>
      <c r="M7" s="2" t="s">
        <v>79</v>
      </c>
    </row>
    <row r="8">
      <c r="B8" s="3" t="s">
        <v>3</v>
      </c>
      <c r="C8" s="4" t="s">
        <v>4</v>
      </c>
      <c r="D8" s="5" t="s">
        <v>5</v>
      </c>
      <c r="E8" s="6" t="s">
        <v>6</v>
      </c>
      <c r="F8" s="7" t="s">
        <v>7</v>
      </c>
      <c r="G8" s="8" t="s">
        <v>8</v>
      </c>
      <c r="H8" s="9" t="s">
        <v>9</v>
      </c>
      <c r="I8" s="10" t="s">
        <v>10</v>
      </c>
      <c r="J8" s="11" t="s">
        <v>11</v>
      </c>
      <c r="K8" s="12" t="s">
        <v>12</v>
      </c>
      <c r="N8" s="3" t="s">
        <v>3</v>
      </c>
      <c r="O8" s="4" t="s">
        <v>4</v>
      </c>
      <c r="P8" s="5" t="s">
        <v>5</v>
      </c>
      <c r="Q8" s="6" t="s">
        <v>6</v>
      </c>
      <c r="R8" s="7" t="s">
        <v>7</v>
      </c>
      <c r="S8" s="8" t="s">
        <v>8</v>
      </c>
      <c r="T8" s="9" t="s">
        <v>9</v>
      </c>
      <c r="U8" s="10" t="s">
        <v>10</v>
      </c>
      <c r="V8" s="11" t="s">
        <v>11</v>
      </c>
      <c r="W8" s="12" t="s">
        <v>12</v>
      </c>
    </row>
    <row r="9">
      <c r="A9" s="3">
        <v>1.0</v>
      </c>
      <c r="B9" s="14">
        <v>1.0</v>
      </c>
      <c r="C9" s="15"/>
      <c r="D9" s="16"/>
      <c r="E9" s="17"/>
      <c r="F9" s="18"/>
      <c r="G9" s="19"/>
      <c r="H9" s="20"/>
      <c r="I9" s="21"/>
      <c r="J9" s="22"/>
      <c r="K9" s="23"/>
      <c r="M9" s="3">
        <v>1.0</v>
      </c>
      <c r="N9" s="14">
        <f>power(B22-E45,2)</f>
        <v>1</v>
      </c>
      <c r="O9" s="15"/>
      <c r="P9" s="16"/>
      <c r="Q9" s="17"/>
      <c r="R9" s="18"/>
      <c r="S9" s="19"/>
      <c r="T9" s="20"/>
      <c r="U9" s="21"/>
      <c r="V9" s="22"/>
      <c r="W9" s="23"/>
    </row>
    <row r="10">
      <c r="A10" s="4">
        <v>2.0</v>
      </c>
      <c r="B10" s="15"/>
      <c r="C10" s="15"/>
      <c r="D10" s="16"/>
      <c r="E10" s="17"/>
      <c r="F10" s="18"/>
      <c r="G10" s="19"/>
      <c r="H10" s="20"/>
      <c r="I10" s="21"/>
      <c r="J10" s="22"/>
      <c r="K10" s="23"/>
      <c r="M10" s="4">
        <v>2.0</v>
      </c>
      <c r="N10" s="15"/>
      <c r="O10" s="15"/>
      <c r="P10" s="16"/>
      <c r="Q10" s="17"/>
      <c r="R10" s="18"/>
      <c r="S10" s="19"/>
      <c r="T10" s="20"/>
      <c r="U10" s="21"/>
      <c r="V10" s="22"/>
      <c r="W10" s="23"/>
    </row>
    <row r="11">
      <c r="A11" s="5">
        <v>3.0</v>
      </c>
      <c r="B11" s="16"/>
      <c r="C11" s="16"/>
      <c r="D11" s="16"/>
      <c r="E11" s="17"/>
      <c r="F11" s="18"/>
      <c r="G11" s="19"/>
      <c r="H11" s="20"/>
      <c r="I11" s="21"/>
      <c r="J11" s="22"/>
      <c r="K11" s="23"/>
      <c r="M11" s="5">
        <v>3.0</v>
      </c>
      <c r="N11" s="16"/>
      <c r="O11" s="16"/>
      <c r="P11" s="16"/>
      <c r="Q11" s="17"/>
      <c r="R11" s="18"/>
      <c r="S11" s="19"/>
      <c r="T11" s="20"/>
      <c r="U11" s="21"/>
      <c r="V11" s="22"/>
      <c r="W11" s="23"/>
    </row>
    <row r="12">
      <c r="A12" s="6">
        <v>4.0</v>
      </c>
      <c r="B12" s="17"/>
      <c r="C12" s="17"/>
      <c r="D12" s="17"/>
      <c r="E12" s="17"/>
      <c r="F12" s="18"/>
      <c r="G12" s="19"/>
      <c r="H12" s="20"/>
      <c r="I12" s="21"/>
      <c r="J12" s="22"/>
      <c r="K12" s="23"/>
      <c r="M12" s="6">
        <v>4.0</v>
      </c>
      <c r="N12" s="17"/>
      <c r="O12" s="17"/>
      <c r="P12" s="17"/>
      <c r="Q12" s="17"/>
      <c r="R12" s="18"/>
      <c r="S12" s="19"/>
      <c r="T12" s="20"/>
      <c r="U12" s="21"/>
      <c r="V12" s="22"/>
      <c r="W12" s="23"/>
    </row>
    <row r="13">
      <c r="A13" s="7">
        <v>5.0</v>
      </c>
      <c r="B13" s="18"/>
      <c r="C13" s="18"/>
      <c r="D13" s="18"/>
      <c r="E13" s="18"/>
      <c r="F13" s="18"/>
      <c r="G13" s="19"/>
      <c r="H13" s="20"/>
      <c r="I13" s="21"/>
      <c r="J13" s="22"/>
      <c r="K13" s="23"/>
      <c r="M13" s="7">
        <v>5.0</v>
      </c>
      <c r="N13" s="18"/>
      <c r="O13" s="18"/>
      <c r="P13" s="18"/>
      <c r="Q13" s="18"/>
      <c r="R13" s="18"/>
      <c r="S13" s="19"/>
      <c r="T13" s="20"/>
      <c r="U13" s="21"/>
      <c r="V13" s="22"/>
      <c r="W13" s="23"/>
    </row>
    <row r="14">
      <c r="A14" s="8">
        <v>6.0</v>
      </c>
      <c r="B14" s="19"/>
      <c r="C14" s="19"/>
      <c r="D14" s="19"/>
      <c r="E14" s="19"/>
      <c r="F14" s="19"/>
      <c r="G14" s="19"/>
      <c r="H14" s="20"/>
      <c r="I14" s="21"/>
      <c r="J14" s="22"/>
      <c r="K14" s="23"/>
      <c r="M14" s="8">
        <v>6.0</v>
      </c>
      <c r="N14" s="19"/>
      <c r="O14" s="19"/>
      <c r="P14" s="19"/>
      <c r="Q14" s="19"/>
      <c r="R14" s="19"/>
      <c r="S14" s="19"/>
      <c r="T14" s="20"/>
      <c r="U14" s="21"/>
      <c r="V14" s="22"/>
      <c r="W14" s="23"/>
    </row>
    <row r="15">
      <c r="A15" s="9">
        <v>7.0</v>
      </c>
      <c r="B15" s="20"/>
      <c r="C15" s="20"/>
      <c r="D15" s="20"/>
      <c r="E15" s="20"/>
      <c r="F15" s="20"/>
      <c r="G15" s="20"/>
      <c r="H15" s="20"/>
      <c r="I15" s="21"/>
      <c r="J15" s="22"/>
      <c r="K15" s="23"/>
      <c r="M15" s="9">
        <v>7.0</v>
      </c>
      <c r="N15" s="20"/>
      <c r="O15" s="20"/>
      <c r="P15" s="20"/>
      <c r="Q15" s="20"/>
      <c r="R15" s="20"/>
      <c r="S15" s="20"/>
      <c r="T15" s="20"/>
      <c r="U15" s="21"/>
      <c r="V15" s="22"/>
      <c r="W15" s="23"/>
    </row>
    <row r="16">
      <c r="A16" s="10">
        <v>8.0</v>
      </c>
      <c r="B16" s="21"/>
      <c r="C16" s="21"/>
      <c r="D16" s="21"/>
      <c r="E16" s="21"/>
      <c r="F16" s="21"/>
      <c r="G16" s="21"/>
      <c r="H16" s="21"/>
      <c r="I16" s="21"/>
      <c r="J16" s="22"/>
      <c r="K16" s="23"/>
      <c r="M16" s="10">
        <v>8.0</v>
      </c>
      <c r="N16" s="21"/>
      <c r="O16" s="21"/>
      <c r="P16" s="21"/>
      <c r="Q16" s="21"/>
      <c r="R16" s="21"/>
      <c r="S16" s="21"/>
      <c r="T16" s="21"/>
      <c r="U16" s="21"/>
      <c r="V16" s="22"/>
      <c r="W16" s="23"/>
    </row>
    <row r="17">
      <c r="A17" s="11">
        <v>9.0</v>
      </c>
      <c r="B17" s="22"/>
      <c r="C17" s="22"/>
      <c r="D17" s="22"/>
      <c r="E17" s="22"/>
      <c r="F17" s="22"/>
      <c r="G17" s="22"/>
      <c r="H17" s="22"/>
      <c r="I17" s="22"/>
      <c r="J17" s="22"/>
      <c r="K17" s="23"/>
      <c r="M17" s="11">
        <v>9.0</v>
      </c>
      <c r="N17" s="22"/>
      <c r="O17" s="22"/>
      <c r="P17" s="22"/>
      <c r="Q17" s="22"/>
      <c r="R17" s="22"/>
      <c r="S17" s="22"/>
      <c r="T17" s="22"/>
      <c r="U17" s="22"/>
      <c r="V17" s="22"/>
      <c r="W17" s="23"/>
    </row>
    <row r="18">
      <c r="A18" s="12">
        <v>10.0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M18" s="12">
        <v>10.0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>
      <c r="B19" s="46"/>
      <c r="C19" s="46"/>
      <c r="D19" s="46"/>
      <c r="E19" s="46"/>
      <c r="F19" s="46"/>
    </row>
    <row r="20">
      <c r="A20" s="2" t="s">
        <v>80</v>
      </c>
      <c r="B20" s="46"/>
      <c r="C20" s="46"/>
      <c r="D20" s="46"/>
      <c r="E20" s="46"/>
      <c r="F20" s="46"/>
      <c r="M20" s="2" t="s">
        <v>81</v>
      </c>
    </row>
    <row r="21">
      <c r="B21" s="3" t="s">
        <v>3</v>
      </c>
      <c r="C21" s="4" t="s">
        <v>4</v>
      </c>
      <c r="D21" s="5" t="s">
        <v>5</v>
      </c>
      <c r="E21" s="6" t="s">
        <v>6</v>
      </c>
      <c r="F21" s="7" t="s">
        <v>7</v>
      </c>
      <c r="G21" s="8" t="s">
        <v>8</v>
      </c>
      <c r="H21" s="9" t="s">
        <v>9</v>
      </c>
      <c r="I21" s="10" t="s">
        <v>10</v>
      </c>
      <c r="J21" s="11" t="s">
        <v>11</v>
      </c>
      <c r="K21" s="12" t="s">
        <v>12</v>
      </c>
      <c r="N21" s="3" t="s">
        <v>3</v>
      </c>
      <c r="O21" s="4" t="s">
        <v>4</v>
      </c>
      <c r="P21" s="5" t="s">
        <v>5</v>
      </c>
      <c r="Q21" s="6" t="s">
        <v>6</v>
      </c>
      <c r="R21" s="7" t="s">
        <v>7</v>
      </c>
      <c r="S21" s="8" t="s">
        <v>8</v>
      </c>
      <c r="T21" s="9" t="s">
        <v>9</v>
      </c>
      <c r="U21" s="10" t="s">
        <v>10</v>
      </c>
      <c r="V21" s="11" t="s">
        <v>11</v>
      </c>
      <c r="W21" s="12" t="s">
        <v>12</v>
      </c>
    </row>
    <row r="22">
      <c r="A22" s="3">
        <v>1.0</v>
      </c>
      <c r="B22" s="14">
        <f>(sum(A5,multiply(B5,B9)))</f>
        <v>3</v>
      </c>
      <c r="C22" s="15"/>
      <c r="D22" s="16"/>
      <c r="E22" s="17"/>
      <c r="F22" s="18"/>
      <c r="G22" s="19"/>
      <c r="H22" s="20"/>
      <c r="I22" s="21"/>
      <c r="J22" s="22"/>
      <c r="K22" s="23"/>
      <c r="M22" s="3">
        <v>1.0</v>
      </c>
      <c r="N22" s="14">
        <f>power(B35-B22,2)</f>
        <v>1</v>
      </c>
      <c r="O22" s="15"/>
      <c r="P22" s="16"/>
      <c r="Q22" s="17"/>
      <c r="R22" s="18"/>
      <c r="S22" s="19"/>
      <c r="T22" s="20"/>
      <c r="U22" s="21"/>
      <c r="V22" s="22"/>
      <c r="W22" s="23"/>
    </row>
    <row r="23">
      <c r="A23" s="4">
        <v>2.0</v>
      </c>
      <c r="B23" s="15"/>
      <c r="C23" s="15"/>
      <c r="D23" s="16"/>
      <c r="E23" s="17"/>
      <c r="F23" s="18"/>
      <c r="G23" s="19"/>
      <c r="H23" s="20"/>
      <c r="I23" s="21"/>
      <c r="J23" s="22"/>
      <c r="K23" s="23"/>
      <c r="M23" s="4">
        <v>2.0</v>
      </c>
      <c r="N23" s="15"/>
      <c r="O23" s="15"/>
      <c r="P23" s="16"/>
      <c r="Q23" s="17"/>
      <c r="R23" s="18"/>
      <c r="S23" s="19"/>
      <c r="T23" s="20"/>
      <c r="U23" s="21"/>
      <c r="V23" s="22"/>
      <c r="W23" s="23"/>
    </row>
    <row r="24">
      <c r="A24" s="5">
        <v>3.0</v>
      </c>
      <c r="B24" s="16"/>
      <c r="C24" s="16"/>
      <c r="D24" s="16"/>
      <c r="E24" s="17"/>
      <c r="F24" s="18"/>
      <c r="G24" s="19"/>
      <c r="H24" s="20"/>
      <c r="I24" s="21"/>
      <c r="J24" s="22"/>
      <c r="K24" s="23"/>
      <c r="M24" s="5">
        <v>3.0</v>
      </c>
      <c r="N24" s="16"/>
      <c r="O24" s="16"/>
      <c r="P24" s="16"/>
      <c r="Q24" s="17"/>
      <c r="R24" s="18"/>
      <c r="S24" s="19"/>
      <c r="T24" s="20"/>
      <c r="U24" s="21"/>
      <c r="V24" s="22"/>
      <c r="W24" s="23"/>
    </row>
    <row r="25">
      <c r="A25" s="6">
        <v>4.0</v>
      </c>
      <c r="B25" s="17"/>
      <c r="C25" s="17"/>
      <c r="D25" s="17"/>
      <c r="E25" s="17"/>
      <c r="F25" s="18"/>
      <c r="G25" s="19"/>
      <c r="H25" s="20"/>
      <c r="I25" s="21"/>
      <c r="J25" s="22"/>
      <c r="K25" s="23"/>
      <c r="M25" s="6">
        <v>4.0</v>
      </c>
      <c r="N25" s="17"/>
      <c r="O25" s="17"/>
      <c r="P25" s="17"/>
      <c r="Q25" s="17"/>
      <c r="R25" s="18"/>
      <c r="S25" s="19"/>
      <c r="T25" s="20"/>
      <c r="U25" s="21"/>
      <c r="V25" s="22"/>
      <c r="W25" s="23"/>
    </row>
    <row r="26">
      <c r="A26" s="7">
        <v>5.0</v>
      </c>
      <c r="B26" s="18"/>
      <c r="C26" s="18"/>
      <c r="D26" s="18"/>
      <c r="E26" s="18"/>
      <c r="F26" s="18"/>
      <c r="G26" s="19"/>
      <c r="H26" s="20"/>
      <c r="I26" s="21"/>
      <c r="J26" s="22"/>
      <c r="K26" s="23"/>
      <c r="M26" s="7">
        <v>5.0</v>
      </c>
      <c r="N26" s="18"/>
      <c r="O26" s="18"/>
      <c r="P26" s="18"/>
      <c r="Q26" s="18"/>
      <c r="R26" s="18"/>
      <c r="S26" s="19"/>
      <c r="T26" s="20"/>
      <c r="U26" s="21"/>
      <c r="V26" s="22"/>
      <c r="W26" s="23"/>
    </row>
    <row r="27">
      <c r="A27" s="8">
        <v>6.0</v>
      </c>
      <c r="B27" s="19"/>
      <c r="C27" s="19"/>
      <c r="D27" s="19"/>
      <c r="E27" s="19"/>
      <c r="F27" s="19"/>
      <c r="G27" s="19"/>
      <c r="H27" s="20"/>
      <c r="I27" s="21"/>
      <c r="J27" s="22"/>
      <c r="K27" s="23"/>
      <c r="M27" s="8">
        <v>6.0</v>
      </c>
      <c r="N27" s="19"/>
      <c r="O27" s="19"/>
      <c r="P27" s="19"/>
      <c r="Q27" s="19"/>
      <c r="R27" s="19"/>
      <c r="S27" s="19"/>
      <c r="T27" s="20"/>
      <c r="U27" s="21"/>
      <c r="V27" s="22"/>
      <c r="W27" s="23"/>
    </row>
    <row r="28">
      <c r="A28" s="9">
        <v>7.0</v>
      </c>
      <c r="B28" s="20"/>
      <c r="C28" s="20"/>
      <c r="D28" s="20"/>
      <c r="E28" s="20"/>
      <c r="F28" s="20"/>
      <c r="G28" s="20"/>
      <c r="H28" s="20"/>
      <c r="I28" s="21"/>
      <c r="J28" s="22"/>
      <c r="K28" s="23"/>
      <c r="M28" s="9">
        <v>7.0</v>
      </c>
      <c r="N28" s="20"/>
      <c r="O28" s="20"/>
      <c r="P28" s="20"/>
      <c r="Q28" s="20"/>
      <c r="R28" s="20"/>
      <c r="S28" s="20"/>
      <c r="T28" s="20"/>
      <c r="U28" s="21"/>
      <c r="V28" s="22"/>
      <c r="W28" s="23"/>
    </row>
    <row r="29">
      <c r="A29" s="10">
        <v>8.0</v>
      </c>
      <c r="B29" s="21"/>
      <c r="C29" s="21"/>
      <c r="D29" s="21"/>
      <c r="E29" s="21"/>
      <c r="F29" s="21"/>
      <c r="G29" s="21"/>
      <c r="H29" s="21"/>
      <c r="I29" s="21"/>
      <c r="J29" s="22"/>
      <c r="K29" s="23"/>
      <c r="M29" s="10">
        <v>8.0</v>
      </c>
      <c r="N29" s="21"/>
      <c r="O29" s="21"/>
      <c r="P29" s="21"/>
      <c r="Q29" s="21"/>
      <c r="R29" s="21"/>
      <c r="S29" s="21"/>
      <c r="T29" s="21"/>
      <c r="U29" s="21"/>
      <c r="V29" s="22"/>
      <c r="W29" s="23"/>
    </row>
    <row r="30">
      <c r="A30" s="11">
        <v>9.0</v>
      </c>
      <c r="B30" s="22"/>
      <c r="C30" s="22"/>
      <c r="D30" s="22"/>
      <c r="E30" s="22"/>
      <c r="F30" s="22"/>
      <c r="G30" s="22"/>
      <c r="H30" s="22"/>
      <c r="I30" s="22"/>
      <c r="J30" s="22"/>
      <c r="K30" s="23"/>
      <c r="M30" s="11">
        <v>9.0</v>
      </c>
      <c r="N30" s="22"/>
      <c r="O30" s="22"/>
      <c r="P30" s="22"/>
      <c r="Q30" s="22"/>
      <c r="R30" s="22"/>
      <c r="S30" s="22"/>
      <c r="T30" s="22"/>
      <c r="U30" s="22"/>
      <c r="V30" s="22"/>
      <c r="W30" s="23"/>
    </row>
    <row r="31">
      <c r="A31" s="12">
        <v>10.0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M31" s="12">
        <v>10.0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3">
      <c r="A33" s="2" t="s">
        <v>82</v>
      </c>
      <c r="M33" s="2" t="s">
        <v>83</v>
      </c>
    </row>
    <row r="34">
      <c r="B34" s="3" t="s">
        <v>3</v>
      </c>
      <c r="C34" s="4" t="s">
        <v>4</v>
      </c>
      <c r="D34" s="5" t="s">
        <v>5</v>
      </c>
      <c r="E34" s="6" t="s">
        <v>6</v>
      </c>
      <c r="F34" s="7" t="s">
        <v>7</v>
      </c>
      <c r="G34" s="8" t="s">
        <v>8</v>
      </c>
      <c r="H34" s="9" t="s">
        <v>9</v>
      </c>
      <c r="I34" s="10" t="s">
        <v>10</v>
      </c>
      <c r="J34" s="11" t="s">
        <v>11</v>
      </c>
      <c r="K34" s="12" t="s">
        <v>12</v>
      </c>
      <c r="N34" s="3" t="s">
        <v>3</v>
      </c>
      <c r="O34" s="4" t="s">
        <v>4</v>
      </c>
      <c r="P34" s="5" t="s">
        <v>5</v>
      </c>
      <c r="Q34" s="6" t="s">
        <v>6</v>
      </c>
      <c r="R34" s="7" t="s">
        <v>7</v>
      </c>
      <c r="S34" s="8" t="s">
        <v>8</v>
      </c>
      <c r="T34" s="9" t="s">
        <v>9</v>
      </c>
      <c r="U34" s="10" t="s">
        <v>10</v>
      </c>
      <c r="V34" s="11" t="s">
        <v>11</v>
      </c>
      <c r="W34" s="12" t="s">
        <v>12</v>
      </c>
    </row>
    <row r="35">
      <c r="A35" s="3">
        <v>1.0</v>
      </c>
      <c r="B35" s="14">
        <v>4.0</v>
      </c>
      <c r="C35" s="15"/>
      <c r="D35" s="16"/>
      <c r="E35" s="17"/>
      <c r="F35" s="18"/>
      <c r="G35" s="19"/>
      <c r="H35" s="20"/>
      <c r="I35" s="21"/>
      <c r="J35" s="22"/>
      <c r="K35" s="23"/>
      <c r="M35" s="3">
        <v>1.0</v>
      </c>
      <c r="N35" s="14">
        <f>power(B35-E45,2)</f>
        <v>0</v>
      </c>
      <c r="O35" s="15"/>
      <c r="P35" s="16"/>
      <c r="Q35" s="17"/>
      <c r="R35" s="18"/>
      <c r="S35" s="19"/>
      <c r="T35" s="20"/>
      <c r="U35" s="21"/>
      <c r="V35" s="22"/>
      <c r="W35" s="23"/>
    </row>
    <row r="36">
      <c r="A36" s="4">
        <v>2.0</v>
      </c>
      <c r="B36" s="15"/>
      <c r="C36" s="15"/>
      <c r="D36" s="16"/>
      <c r="E36" s="17"/>
      <c r="F36" s="18"/>
      <c r="G36" s="19"/>
      <c r="H36" s="20"/>
      <c r="I36" s="21"/>
      <c r="J36" s="22"/>
      <c r="K36" s="23"/>
      <c r="M36" s="4">
        <v>2.0</v>
      </c>
      <c r="N36" s="15"/>
      <c r="O36" s="15"/>
      <c r="P36" s="16"/>
      <c r="Q36" s="17"/>
      <c r="R36" s="18"/>
      <c r="S36" s="19"/>
      <c r="T36" s="20"/>
      <c r="U36" s="21"/>
      <c r="V36" s="22"/>
      <c r="W36" s="23"/>
    </row>
    <row r="37">
      <c r="A37" s="5">
        <v>3.0</v>
      </c>
      <c r="B37" s="16"/>
      <c r="C37" s="16"/>
      <c r="D37" s="16"/>
      <c r="E37" s="17"/>
      <c r="F37" s="18"/>
      <c r="G37" s="19"/>
      <c r="H37" s="20"/>
      <c r="I37" s="21"/>
      <c r="J37" s="22"/>
      <c r="K37" s="23"/>
      <c r="M37" s="5">
        <v>3.0</v>
      </c>
      <c r="N37" s="16"/>
      <c r="O37" s="16"/>
      <c r="P37" s="16"/>
      <c r="Q37" s="17"/>
      <c r="R37" s="18"/>
      <c r="S37" s="19"/>
      <c r="T37" s="20"/>
      <c r="U37" s="21"/>
      <c r="V37" s="22"/>
      <c r="W37" s="23"/>
    </row>
    <row r="38">
      <c r="A38" s="6">
        <v>4.0</v>
      </c>
      <c r="B38" s="17"/>
      <c r="C38" s="17"/>
      <c r="D38" s="17"/>
      <c r="E38" s="17"/>
      <c r="F38" s="18"/>
      <c r="G38" s="19"/>
      <c r="H38" s="20"/>
      <c r="I38" s="21"/>
      <c r="J38" s="22"/>
      <c r="K38" s="23"/>
      <c r="M38" s="6">
        <v>4.0</v>
      </c>
      <c r="N38" s="17"/>
      <c r="O38" s="17"/>
      <c r="P38" s="17"/>
      <c r="Q38" s="17"/>
      <c r="R38" s="18"/>
      <c r="S38" s="19"/>
      <c r="T38" s="20"/>
      <c r="U38" s="21"/>
      <c r="V38" s="22"/>
      <c r="W38" s="23"/>
    </row>
    <row r="39">
      <c r="A39" s="7">
        <v>5.0</v>
      </c>
      <c r="B39" s="18"/>
      <c r="C39" s="18"/>
      <c r="D39" s="18"/>
      <c r="E39" s="18"/>
      <c r="F39" s="18"/>
      <c r="G39" s="19"/>
      <c r="H39" s="20"/>
      <c r="I39" s="21"/>
      <c r="J39" s="22"/>
      <c r="K39" s="23"/>
      <c r="M39" s="7">
        <v>5.0</v>
      </c>
      <c r="N39" s="18"/>
      <c r="O39" s="18"/>
      <c r="P39" s="18"/>
      <c r="Q39" s="18"/>
      <c r="R39" s="18"/>
      <c r="S39" s="19"/>
      <c r="T39" s="20"/>
      <c r="U39" s="21"/>
      <c r="V39" s="22"/>
      <c r="W39" s="23"/>
    </row>
    <row r="40">
      <c r="A40" s="8">
        <v>6.0</v>
      </c>
      <c r="B40" s="19"/>
      <c r="C40" s="19"/>
      <c r="D40" s="19"/>
      <c r="E40" s="19"/>
      <c r="F40" s="19"/>
      <c r="G40" s="19"/>
      <c r="H40" s="20"/>
      <c r="I40" s="21"/>
      <c r="J40" s="22"/>
      <c r="K40" s="23"/>
      <c r="M40" s="8">
        <v>6.0</v>
      </c>
      <c r="N40" s="19"/>
      <c r="O40" s="19"/>
      <c r="P40" s="19"/>
      <c r="Q40" s="19"/>
      <c r="R40" s="19"/>
      <c r="S40" s="19"/>
      <c r="T40" s="20"/>
      <c r="U40" s="21"/>
      <c r="V40" s="22"/>
      <c r="W40" s="23"/>
    </row>
    <row r="41">
      <c r="A41" s="9">
        <v>7.0</v>
      </c>
      <c r="B41" s="20"/>
      <c r="C41" s="20"/>
      <c r="D41" s="20"/>
      <c r="E41" s="20"/>
      <c r="F41" s="20"/>
      <c r="G41" s="20"/>
      <c r="H41" s="20"/>
      <c r="I41" s="21"/>
      <c r="J41" s="22"/>
      <c r="K41" s="23"/>
      <c r="M41" s="9">
        <v>7.0</v>
      </c>
      <c r="N41" s="20"/>
      <c r="O41" s="20"/>
      <c r="P41" s="20"/>
      <c r="Q41" s="20"/>
      <c r="R41" s="20"/>
      <c r="S41" s="20"/>
      <c r="T41" s="20"/>
      <c r="U41" s="21"/>
      <c r="V41" s="22"/>
      <c r="W41" s="23"/>
    </row>
    <row r="42">
      <c r="A42" s="10">
        <v>8.0</v>
      </c>
      <c r="B42" s="21"/>
      <c r="C42" s="21"/>
      <c r="D42" s="21"/>
      <c r="E42" s="21"/>
      <c r="F42" s="21"/>
      <c r="G42" s="21"/>
      <c r="H42" s="21"/>
      <c r="I42" s="21"/>
      <c r="J42" s="22"/>
      <c r="K42" s="23"/>
      <c r="M42" s="10">
        <v>8.0</v>
      </c>
      <c r="N42" s="21"/>
      <c r="O42" s="21"/>
      <c r="P42" s="21"/>
      <c r="Q42" s="21"/>
      <c r="R42" s="21"/>
      <c r="S42" s="21"/>
      <c r="T42" s="21"/>
      <c r="U42" s="21"/>
      <c r="V42" s="22"/>
      <c r="W42" s="23"/>
    </row>
    <row r="43">
      <c r="A43" s="11">
        <v>9.0</v>
      </c>
      <c r="B43" s="22"/>
      <c r="C43" s="22"/>
      <c r="D43" s="22"/>
      <c r="E43" s="22"/>
      <c r="F43" s="22"/>
      <c r="G43" s="22"/>
      <c r="H43" s="22"/>
      <c r="I43" s="22"/>
      <c r="J43" s="22"/>
      <c r="K43" s="23"/>
      <c r="M43" s="11">
        <v>9.0</v>
      </c>
      <c r="N43" s="22"/>
      <c r="O43" s="22"/>
      <c r="P43" s="22"/>
      <c r="Q43" s="22"/>
      <c r="R43" s="22"/>
      <c r="S43" s="22"/>
      <c r="T43" s="22"/>
      <c r="U43" s="22"/>
      <c r="V43" s="22"/>
      <c r="W43" s="23"/>
    </row>
    <row r="44">
      <c r="A44" s="12">
        <v>10.0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M44" s="12">
        <v>10.0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>
      <c r="A45" s="2" t="s">
        <v>84</v>
      </c>
      <c r="B45" s="50" t="s">
        <v>32</v>
      </c>
      <c r="C45" s="149">
        <f>count(B35:K44)</f>
        <v>1</v>
      </c>
      <c r="D45" s="2" t="s">
        <v>85</v>
      </c>
      <c r="E45" s="149">
        <f>divide(sum(B35:K44),C45)</f>
        <v>4</v>
      </c>
    </row>
    <row r="47">
      <c r="A47" s="2" t="s">
        <v>86</v>
      </c>
    </row>
    <row r="48">
      <c r="A48" s="74" t="s">
        <v>45</v>
      </c>
      <c r="B48" s="75" t="s">
        <v>46</v>
      </c>
      <c r="C48" s="76" t="s">
        <v>47</v>
      </c>
      <c r="D48" s="77" t="s">
        <v>48</v>
      </c>
      <c r="E48" s="71" t="s">
        <v>8</v>
      </c>
    </row>
    <row r="49">
      <c r="A49" s="75" t="s">
        <v>87</v>
      </c>
      <c r="B49" s="15">
        <v>1.0</v>
      </c>
      <c r="C49" s="27">
        <f>sum(N9:W18)</f>
        <v>1</v>
      </c>
      <c r="D49" s="28">
        <f>C49 </f>
        <v>1</v>
      </c>
      <c r="E49" s="29">
        <f>divide(D49,D50) </f>
        <v>-1</v>
      </c>
    </row>
    <row r="50">
      <c r="A50" s="76" t="s">
        <v>50</v>
      </c>
      <c r="B50" s="27">
        <f>C45-2</f>
        <v>-1</v>
      </c>
      <c r="C50" s="27">
        <f>SUM(N22:W31)</f>
        <v>1</v>
      </c>
      <c r="D50" s="28">
        <f>divide(C50,B50) </f>
        <v>-1</v>
      </c>
      <c r="E50" s="29"/>
    </row>
    <row r="51">
      <c r="A51" s="77" t="s">
        <v>13</v>
      </c>
      <c r="B51" s="28">
        <f>C45-1 </f>
        <v>0</v>
      </c>
      <c r="C51" s="28">
        <f>sum(N35:W44)</f>
        <v>0</v>
      </c>
      <c r="D51" s="28"/>
      <c r="E51" s="29"/>
    </row>
    <row r="52">
      <c r="A52" s="2" t="s">
        <v>88</v>
      </c>
      <c r="B52" s="149" t="str">
        <f>divide(C49,C51) </f>
        <v>#DIV/0!</v>
      </c>
    </row>
    <row r="53">
      <c r="A53" s="2" t="s">
        <v>89</v>
      </c>
      <c r="B53" s="149" t="str">
        <f>power(D50,0.5)</f>
        <v>#NUM!</v>
      </c>
    </row>
  </sheetData>
  <drawing r:id="rId1"/>
</worksheet>
</file>